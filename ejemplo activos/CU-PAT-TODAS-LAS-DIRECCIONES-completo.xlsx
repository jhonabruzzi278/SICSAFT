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O DE ACTIVOS NUEVOS" sheetId="1" state="visible" r:id="rId1"/>
    <sheet xmlns:r="http://schemas.openxmlformats.org/officeDocument/2006/relationships" name="Listas" sheetId="2" state="hidden" r:id="rId2"/>
    <sheet xmlns:r="http://schemas.openxmlformats.org/officeDocument/2006/relationships" name="Resumen" sheetId="3" state="visible" r:id="rId3"/>
    <sheet xmlns:r="http://schemas.openxmlformats.org/officeDocument/2006/relationships" name="Notas" sheetId="4" state="visible" r:id="rId4"/>
  </sheets>
  <definedNames>
    <definedName name="_xlnm._FilterDatabase" localSheetId="0" hidden="1">'REGISTRO DE ACTIVOS NUEVOS'!$A$4:$M$256</definedName>
    <definedName name="_xlnm.Print_Titles" localSheetId="0">'REGISTRO DE ACTIVOS NUEVOS'!$4:$4</definedName>
  </definedNames>
  <calcPr calcId="124519" fullCalcOnLoad="1"/>
</workbook>
</file>

<file path=xl/styles.xml><?xml version="1.0" encoding="utf-8"?>
<styleSheet xmlns="http://schemas.openxmlformats.org/spreadsheetml/2006/main">
  <numFmts count="4">
    <numFmt numFmtId="164" formatCode="yyyy-mm-dd h:mm:ss"/>
    <numFmt numFmtId="165" formatCode="DD-MM-YYYY"/>
    <numFmt numFmtId="166" formatCode="&quot;$&quot;#,##0"/>
    <numFmt numFmtId="167" formatCode="0.0%"/>
  </numFmts>
  <fonts count="11">
    <font>
      <name val="Calibri"/>
      <family val="2"/>
      <color theme="1"/>
      <sz val="11"/>
      <scheme val="minor"/>
    </font>
    <font>
      <name val="Arial"/>
      <b val="1"/>
      <color rgb="00FFFFFF"/>
      <sz val="18"/>
    </font>
    <font>
      <name val="Arial"/>
      <color rgb="00ACB8CB"/>
      <sz val="10"/>
    </font>
    <font>
      <name val="Arial"/>
      <b val="1"/>
      <color rgb="00FFFFFF"/>
      <sz val="10"/>
    </font>
    <font>
      <name val="Arial"/>
      <color rgb="000B1B33"/>
      <sz val="10"/>
    </font>
    <font>
      <name val="Arial"/>
      <b val="1"/>
      <color rgb="009A5B00"/>
      <sz val="10"/>
    </font>
    <font>
      <name val="Arial"/>
      <color rgb="009A5B00"/>
      <sz val="10"/>
    </font>
    <font>
      <name val="Arial"/>
      <b val="1"/>
      <color rgb="009B2226"/>
      <sz val="10"/>
    </font>
    <font>
      <name val="Arial"/>
      <b val="1"/>
      <color rgb="000B1B33"/>
      <sz val="10"/>
    </font>
    <font>
      <name val="Arial"/>
      <b val="1"/>
      <color rgb="00FFFFFF"/>
      <sz val="16"/>
    </font>
    <font>
      <name val="Arial"/>
      <b val="1"/>
      <color rgb="00FFFFFF"/>
      <sz val="11"/>
    </font>
  </fonts>
  <fills count="9">
    <fill>
      <patternFill/>
    </fill>
    <fill>
      <patternFill patternType="gray125"/>
    </fill>
    <fill>
      <patternFill patternType="solid">
        <fgColor rgb="00020B1E"/>
      </patternFill>
    </fill>
    <fill>
      <patternFill patternType="solid">
        <fgColor rgb="0005132A"/>
      </patternFill>
    </fill>
    <fill>
      <patternFill patternType="solid">
        <fgColor rgb="00144881"/>
      </patternFill>
    </fill>
    <fill>
      <patternFill patternType="solid">
        <fgColor rgb="00EFF4FC"/>
      </patternFill>
    </fill>
    <fill>
      <patternFill patternType="solid">
        <fgColor rgb="00FFF3D6"/>
      </patternFill>
    </fill>
    <fill>
      <patternFill patternType="solid">
        <fgColor rgb="00FBE3E3"/>
      </patternFill>
    </fill>
    <fill>
      <patternFill patternType="solid">
        <fgColor rgb="00E2ECF9"/>
      </patternFill>
    </fill>
  </fills>
  <borders count="3">
    <border>
      <left/>
      <right/>
      <top/>
      <bottom/>
      <diagonal/>
    </border>
    <border>
      <left style="thin">
        <color rgb="00C9D6EA"/>
      </left>
      <right style="thin">
        <color rgb="00C9D6EA"/>
      </right>
      <top style="thin">
        <color rgb="00C9D6EA"/>
      </top>
      <bottom style="thin">
        <color rgb="00C9D6EA"/>
      </bottom>
    </border>
    <border>
      <left style="thin">
        <color rgb="00C9D6EA"/>
      </left>
      <right style="thin">
        <color rgb="00C9D6EA"/>
      </right>
      <top style="medium">
        <color rgb="00144881"/>
      </top>
      <bottom style="thin">
        <color rgb="00C9D6EA"/>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2" applyAlignment="1" pivotButton="0" quotePrefix="0" xfId="0">
      <alignment horizontal="center" vertical="center"/>
    </xf>
    <xf numFmtId="0" fontId="4" fillId="0" borderId="2" applyAlignment="1" pivotButton="0" quotePrefix="0" xfId="0">
      <alignment horizontal="left" vertical="center" indent="1"/>
    </xf>
    <xf numFmtId="165" fontId="4" fillId="0" borderId="2" applyAlignment="1" pivotButton="0" quotePrefix="0" xfId="0">
      <alignment horizontal="center" vertical="center"/>
    </xf>
    <xf numFmtId="166" fontId="4" fillId="0" borderId="2" applyAlignment="1" pivotButton="0" quotePrefix="0" xfId="0">
      <alignment horizontal="right" vertical="center"/>
    </xf>
    <xf numFmtId="0" fontId="4" fillId="5" borderId="1" applyAlignment="1" pivotButton="0" quotePrefix="0" xfId="0">
      <alignment horizontal="center" vertical="center"/>
    </xf>
    <xf numFmtId="0" fontId="4" fillId="5" borderId="1" applyAlignment="1" pivotButton="0" quotePrefix="0" xfId="0">
      <alignment horizontal="left" vertical="center" indent="1"/>
    </xf>
    <xf numFmtId="165" fontId="4" fillId="5" borderId="1" applyAlignment="1" pivotButton="0" quotePrefix="0" xfId="0">
      <alignment horizontal="center" vertical="center"/>
    </xf>
    <xf numFmtId="166" fontId="4"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left" vertical="center" indent="1"/>
    </xf>
    <xf numFmtId="165" fontId="4" fillId="0" borderId="1" applyAlignment="1" pivotButton="0" quotePrefix="0" xfId="0">
      <alignment horizontal="center" vertical="center"/>
    </xf>
    <xf numFmtId="166" fontId="4" fillId="0" borderId="1" applyAlignment="1" pivotButton="0" quotePrefix="0" xfId="0">
      <alignment horizontal="right" vertical="center"/>
    </xf>
    <xf numFmtId="0" fontId="5" fillId="6" borderId="1" applyAlignment="1" pivotButton="0" quotePrefix="0" xfId="0">
      <alignment horizontal="center" vertical="center"/>
    </xf>
    <xf numFmtId="0" fontId="6" fillId="6" borderId="1" applyAlignment="1" pivotButton="0" quotePrefix="0" xfId="0">
      <alignment horizontal="center" vertical="center"/>
    </xf>
    <xf numFmtId="0" fontId="6" fillId="6" borderId="1" applyAlignment="1" pivotButton="0" quotePrefix="0" xfId="0">
      <alignment horizontal="left" vertical="center" indent="1"/>
    </xf>
    <xf numFmtId="0" fontId="7" fillId="7" borderId="1" applyAlignment="1" pivotButton="0" quotePrefix="0" xfId="0">
      <alignment horizontal="center" vertical="center"/>
    </xf>
    <xf numFmtId="0" fontId="4" fillId="5" borderId="2" applyAlignment="1" pivotButton="0" quotePrefix="0" xfId="0">
      <alignment horizontal="center" vertical="center"/>
    </xf>
    <xf numFmtId="0" fontId="4" fillId="5" borderId="2" applyAlignment="1" pivotButton="0" quotePrefix="0" xfId="0">
      <alignment horizontal="left" vertical="center" indent="1"/>
    </xf>
    <xf numFmtId="165" fontId="4" fillId="5" borderId="2" applyAlignment="1" pivotButton="0" quotePrefix="0" xfId="0">
      <alignment horizontal="center" vertical="center"/>
    </xf>
    <xf numFmtId="166" fontId="4" fillId="5" borderId="2" applyAlignment="1" pivotButton="0" quotePrefix="0" xfId="0">
      <alignment horizontal="right" vertical="center"/>
    </xf>
    <xf numFmtId="0" fontId="6" fillId="6" borderId="2" applyAlignment="1" pivotButton="0" quotePrefix="0" xfId="0">
      <alignment horizontal="left" vertical="center" indent="1"/>
    </xf>
    <xf numFmtId="0" fontId="6" fillId="6" borderId="2" applyAlignment="1" pivotButton="0" quotePrefix="0" xfId="0">
      <alignment horizontal="center" vertical="center"/>
    </xf>
    <xf numFmtId="0" fontId="3" fillId="3" borderId="1" applyAlignment="1" pivotButton="0" quotePrefix="0" xfId="0">
      <alignment horizontal="center" vertical="center"/>
    </xf>
    <xf numFmtId="0" fontId="3" fillId="3" borderId="1" pivotButton="0" quotePrefix="0" xfId="0"/>
    <xf numFmtId="0" fontId="3" fillId="3" borderId="1" applyAlignment="1" pivotButton="0" quotePrefix="0" xfId="0">
      <alignment horizontal="left" vertical="center" indent="1"/>
    </xf>
    <xf numFmtId="166" fontId="3" fillId="3" borderId="1" applyAlignment="1" pivotButton="0" quotePrefix="0" xfId="0">
      <alignment horizontal="right" vertical="center"/>
    </xf>
    <xf numFmtId="0" fontId="8" fillId="0" borderId="0" pivotButton="0" quotePrefix="0" xfId="0"/>
    <xf numFmtId="0" fontId="4" fillId="0" borderId="0" pivotButton="0" quotePrefix="0" xfId="0"/>
    <xf numFmtId="0" fontId="9" fillId="2" borderId="0" applyAlignment="1" pivotButton="0" quotePrefix="0" xfId="0">
      <alignment horizontal="left" vertical="center" indent="1"/>
    </xf>
    <xf numFmtId="0" fontId="10" fillId="4" borderId="0" applyAlignment="1" pivotButton="0" quotePrefix="0" xfId="0">
      <alignment horizontal="left" vertical="center" indent="1"/>
    </xf>
    <xf numFmtId="0" fontId="8" fillId="8" borderId="1" applyAlignment="1" pivotButton="0" quotePrefix="0" xfId="0">
      <alignment horizontal="left" vertical="center" indent="1"/>
    </xf>
    <xf numFmtId="0" fontId="8" fillId="8" borderId="1" applyAlignment="1" pivotButton="0" quotePrefix="0" xfId="0">
      <alignment horizontal="center" vertical="center"/>
    </xf>
    <xf numFmtId="167" fontId="4" fillId="5" borderId="1" applyAlignment="1" pivotButton="0" quotePrefix="0" xfId="0">
      <alignment horizontal="center" vertical="center"/>
    </xf>
    <xf numFmtId="167" fontId="4" fillId="0" borderId="1" applyAlignment="1" pivotButton="0" quotePrefix="0" xfId="0">
      <alignment horizontal="center" vertical="center"/>
    </xf>
    <xf numFmtId="167" fontId="3" fillId="3" borderId="1" applyAlignment="1" pivotButton="0" quotePrefix="0" xfId="0">
      <alignment horizontal="center" vertical="center"/>
    </xf>
    <xf numFmtId="0" fontId="8" fillId="0" borderId="1" applyAlignment="1" pivotButton="0" quotePrefix="0" xfId="0">
      <alignment horizontal="left" vertical="top" indent="1"/>
    </xf>
    <xf numFmtId="0" fontId="4" fillId="0" borderId="1" applyAlignment="1" pivotButton="0" quotePrefix="0" xfId="0">
      <alignment horizontal="left" vertical="top" wrapText="1"/>
    </xf>
    <xf numFmtId="0" fontId="8" fillId="6" borderId="1" applyAlignment="1" pivotButton="0" quotePrefix="0" xfId="0">
      <alignment horizontal="left" vertical="top" indent="1"/>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SICSAFT</author>
  </authors>
  <commentList>
    <comment ref="E4" authorId="0" shapeId="0">
      <text>
        <t>Ambar = valor deducido, no venia en el Excel de origen.
Son las 27 filas de DIRECCION LOGISTICA (columna vacia
en las 27) mas 4 huecos sueltos de ESTADO en DG y DTP.
Confirmar antes de aprobar el lote.</t>
      </text>
    </comment>
    <comment ref="F4" authorId="0" shapeId="0">
      <text>
        <t>Ambar = valor deducido, no venia en el Excel de origen.
Son las 27 filas de DIRECCION LOGISTICA (columna vacia
en las 27) mas 4 huecos sueltos de ESTADO en DG y DTP.
Confirmar antes de aprobar el lote.</t>
      </text>
    </comment>
    <comment ref="H4" authorId="0" shapeId="0">
      <text>
        <t>Columna sin dato en el Excel de origen (las 252 filas).
Valor de ejemplo generado: reemplazar por el dato real
del acta de recepcion / factura antes de aprobar el lote.</t>
      </text>
    </comment>
    <comment ref="I4" authorId="0" shapeId="0">
      <text>
        <t>Columna sin dato en el Excel de origen (las 252 filas).
Valor de ejemplo generado: reemplazar por el dato real
del acta de recepcion / factura antes de aprobar el lote.</t>
      </text>
    </comment>
    <comment ref="J4" authorId="0" shapeId="0">
      <text>
        <t>Columna sin dato en el Excel de origen (las 252 filas).
Valor de ejemplo generado: reemplazar por el dato real
del acta de recepcion / factura antes de aprobar el lote.</t>
      </text>
    </comment>
    <comment ref="K4" authorId="0" shapeId="0">
      <text>
        <t>Columna sin dato en el Excel de origen (las 252 filas).
Valor de ejemplo generado: reemplazar por el dato real
del acta de recepcion / factura antes de aprobar el lote.</t>
      </text>
    </comment>
    <comment ref="L4" authorId="0" shapeId="0">
      <text>
        <t>Columna sin dato en el Excel de origen (las 252 filas).
Valor de ejemplo generado: reemplazar por el dato real
del acta de recepcion / factura antes de aprobar el lote.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M25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1" customWidth="1" min="3" max="3"/>
    <col width="34" customWidth="1" min="4" max="4"/>
    <col width="34" customWidth="1" min="5" max="5"/>
    <col width="11" customWidth="1" min="6" max="6"/>
    <col width="34" customWidth="1" min="7" max="7"/>
    <col width="15" customWidth="1" min="8" max="8"/>
    <col width="28" customWidth="1" min="9" max="9"/>
    <col width="16" customWidth="1" min="10" max="10"/>
    <col width="14" customWidth="1" min="11" max="11"/>
    <col width="16" customWidth="1" min="12" max="12"/>
    <col width="30" customWidth="1" min="13" max="13"/>
  </cols>
  <sheetData>
    <row r="1" ht="34" customHeight="1">
      <c r="A1" s="1" t="inlineStr">
        <is>
          <t>CU-PAT — Gestión Patrimonial</t>
        </is>
      </c>
    </row>
    <row r="2" ht="20" customHeight="1">
      <c r="A2" s="2" t="inlineStr">
        <is>
          <t>EMPRESA SUCHEL TROPICAL  ·  las 5 direcciones  ·  252 activos  ·  registro consolidado</t>
        </is>
      </c>
    </row>
    <row r="3" ht="6" customHeight="1"/>
    <row r="4" ht="30" customHeight="1">
      <c r="A4" s="3" t="inlineStr">
        <is>
          <t>No.</t>
        </is>
      </c>
      <c r="B4" s="3" t="inlineStr">
        <is>
          <t>DIRECCION</t>
        </is>
      </c>
      <c r="C4" s="3" t="inlineStr">
        <is>
          <t>CODIGO</t>
        </is>
      </c>
      <c r="D4" s="3" t="inlineStr">
        <is>
          <t>NOMBRE AFT</t>
        </is>
      </c>
      <c r="E4" s="3" t="inlineStr">
        <is>
          <t>CATEGORIA</t>
        </is>
      </c>
      <c r="F4" s="3" t="inlineStr">
        <is>
          <t>ESTADO</t>
        </is>
      </c>
      <c r="G4" s="3" t="inlineStr">
        <is>
          <t>AREA</t>
        </is>
      </c>
      <c r="H4" s="4" t="inlineStr">
        <is>
          <t>MARCA</t>
        </is>
      </c>
      <c r="I4" s="4" t="inlineStr">
        <is>
          <t>MODELO</t>
        </is>
      </c>
      <c r="J4" s="4" t="inlineStr">
        <is>
          <t>SERIE</t>
        </is>
      </c>
      <c r="K4" s="4" t="inlineStr">
        <is>
          <t>FECHA COMPRA</t>
        </is>
      </c>
      <c r="L4" s="4" t="inlineStr">
        <is>
          <t>VALOR.CLP.</t>
        </is>
      </c>
      <c r="M4" s="3" t="inlineStr">
        <is>
          <t>RESPONSABLE</t>
        </is>
      </c>
    </row>
    <row r="5">
      <c r="A5" s="5" t="n">
        <v>1</v>
      </c>
      <c r="B5" s="6" t="inlineStr">
        <is>
          <t>DIRECCION GENERAL</t>
        </is>
      </c>
      <c r="C5" s="5" t="inlineStr">
        <is>
          <t>DG-001</t>
        </is>
      </c>
      <c r="D5" s="6" t="inlineStr">
        <is>
          <t>1 MESA BURO/ 4 GAVETAS</t>
        </is>
      </c>
      <c r="E5" s="6" t="inlineStr">
        <is>
          <t>MOBILIARIO</t>
        </is>
      </c>
      <c r="F5" s="5" t="inlineStr">
        <is>
          <t>SERVICIO</t>
        </is>
      </c>
      <c r="G5" s="6" t="inlineStr">
        <is>
          <t>OFICINA DIRECTOR GENERAL</t>
        </is>
      </c>
      <c r="H5" s="6" t="inlineStr">
        <is>
          <t>Rosen</t>
        </is>
      </c>
      <c r="I5" s="6" t="inlineStr">
        <is>
          <t>Buro Ejecutivo BR-4G120</t>
        </is>
      </c>
      <c r="J5" s="5" t="inlineStr">
        <is>
          <t>SN-DG001-2186</t>
        </is>
      </c>
      <c r="K5" s="7" t="n">
        <v>44270</v>
      </c>
      <c r="L5" s="8" t="n">
        <v>189900</v>
      </c>
      <c r="M5" s="6" t="inlineStr">
        <is>
          <t>DIRECTOR GENERAL</t>
        </is>
      </c>
    </row>
    <row r="6">
      <c r="A6" s="9" t="n">
        <v>2</v>
      </c>
      <c r="B6" s="10" t="inlineStr">
        <is>
          <t>DIRECCION GENERAL</t>
        </is>
      </c>
      <c r="C6" s="9" t="inlineStr">
        <is>
          <t>DG-002</t>
        </is>
      </c>
      <c r="D6" s="10" t="inlineStr">
        <is>
          <t>1 SILLA GIRATORIA</t>
        </is>
      </c>
      <c r="E6" s="10" t="inlineStr">
        <is>
          <t>MOBILIARIO</t>
        </is>
      </c>
      <c r="F6" s="9" t="inlineStr">
        <is>
          <t>SERVICIO</t>
        </is>
      </c>
      <c r="G6" s="10" t="inlineStr">
        <is>
          <t>OFICINA DIRECTOR GENERAL</t>
        </is>
      </c>
      <c r="H6" s="10" t="inlineStr">
        <is>
          <t>Ergosillas</t>
        </is>
      </c>
      <c r="I6" s="10" t="inlineStr">
        <is>
          <t>Pro Ergo 120</t>
        </is>
      </c>
      <c r="J6" s="9" t="inlineStr">
        <is>
          <t>SN-DG002-2323</t>
        </is>
      </c>
      <c r="K6" s="11" t="n">
        <v>44275</v>
      </c>
      <c r="L6" s="12" t="n">
        <v>109900</v>
      </c>
      <c r="M6" s="10" t="inlineStr">
        <is>
          <t>DIRECTOR GENERAL</t>
        </is>
      </c>
    </row>
    <row r="7">
      <c r="A7" s="13" t="n">
        <v>3</v>
      </c>
      <c r="B7" s="14" t="inlineStr">
        <is>
          <t>DIRECCION GENERAL</t>
        </is>
      </c>
      <c r="C7" s="13" t="inlineStr">
        <is>
          <t>DG-003</t>
        </is>
      </c>
      <c r="D7" s="14" t="inlineStr">
        <is>
          <t>1 PC ESCRITORIO</t>
        </is>
      </c>
      <c r="E7" s="14" t="inlineStr">
        <is>
          <t>INFORMATICA</t>
        </is>
      </c>
      <c r="F7" s="13" t="inlineStr">
        <is>
          <t>SERVICIO</t>
        </is>
      </c>
      <c r="G7" s="14" t="inlineStr">
        <is>
          <t>OFICINA DIRECTOR GENERAL</t>
        </is>
      </c>
      <c r="H7" s="14" t="inlineStr">
        <is>
          <t>HP</t>
        </is>
      </c>
      <c r="I7" s="14" t="inlineStr">
        <is>
          <t>ProDesk 400 G9 SFF</t>
        </is>
      </c>
      <c r="J7" s="13" t="inlineStr">
        <is>
          <t>SN-DG003-2460</t>
        </is>
      </c>
      <c r="K7" s="15" t="n">
        <v>44280</v>
      </c>
      <c r="L7" s="16" t="n">
        <v>549900</v>
      </c>
      <c r="M7" s="14" t="inlineStr">
        <is>
          <t>DIRECTOR GENERAL</t>
        </is>
      </c>
    </row>
    <row r="8">
      <c r="A8" s="9" t="n">
        <v>4</v>
      </c>
      <c r="B8" s="10" t="inlineStr">
        <is>
          <t>DIRECCION GENERAL</t>
        </is>
      </c>
      <c r="C8" s="9" t="inlineStr">
        <is>
          <t>DG-004</t>
        </is>
      </c>
      <c r="D8" s="10" t="inlineStr">
        <is>
          <t>1 IMPRESORA</t>
        </is>
      </c>
      <c r="E8" s="10" t="inlineStr">
        <is>
          <t>INFORMATICA</t>
        </is>
      </c>
      <c r="F8" s="9" t="inlineStr">
        <is>
          <t>SERVICIO</t>
        </is>
      </c>
      <c r="G8" s="10" t="inlineStr">
        <is>
          <t>OFICINA DIRECTOR GENERAL</t>
        </is>
      </c>
      <c r="H8" s="10" t="inlineStr">
        <is>
          <t>Epson</t>
        </is>
      </c>
      <c r="I8" s="10" t="inlineStr">
        <is>
          <t>EcoTank L3250</t>
        </is>
      </c>
      <c r="J8" s="9" t="inlineStr">
        <is>
          <t>SN-DG004-2597</t>
        </is>
      </c>
      <c r="K8" s="11" t="n">
        <v>44270</v>
      </c>
      <c r="L8" s="12" t="n">
        <v>179900</v>
      </c>
      <c r="M8" s="10" t="inlineStr">
        <is>
          <t>DIRECTOR GENERAL</t>
        </is>
      </c>
    </row>
    <row r="9">
      <c r="A9" s="13" t="n">
        <v>5</v>
      </c>
      <c r="B9" s="14" t="inlineStr">
        <is>
          <t>DIRECCION GENERAL</t>
        </is>
      </c>
      <c r="C9" s="13" t="inlineStr">
        <is>
          <t>DG-005</t>
        </is>
      </c>
      <c r="D9" s="14" t="inlineStr">
        <is>
          <t>1 EQUIPO CLIMATIZACION 12000 BTU</t>
        </is>
      </c>
      <c r="E9" s="14" t="inlineStr">
        <is>
          <t>EQUIPOS DE CLIMATIZACION Y REFRIGERACION</t>
        </is>
      </c>
      <c r="F9" s="13" t="inlineStr">
        <is>
          <t>SERVICIO</t>
        </is>
      </c>
      <c r="G9" s="14" t="inlineStr">
        <is>
          <t>OFICINA DIRECTOR GENERAL</t>
        </is>
      </c>
      <c r="H9" s="14" t="inlineStr">
        <is>
          <t>Midea</t>
        </is>
      </c>
      <c r="I9" s="14" t="inlineStr">
        <is>
          <t>Xtreme Save 12.000 BTU</t>
        </is>
      </c>
      <c r="J9" s="13" t="inlineStr">
        <is>
          <t>SN-DG005-2734</t>
        </is>
      </c>
      <c r="K9" s="15" t="n">
        <v>44275</v>
      </c>
      <c r="L9" s="16" t="n">
        <v>389900</v>
      </c>
      <c r="M9" s="14" t="inlineStr">
        <is>
          <t>DIRECTOR GENERAL</t>
        </is>
      </c>
    </row>
    <row r="10">
      <c r="A10" s="9" t="n">
        <v>6</v>
      </c>
      <c r="B10" s="10" t="inlineStr">
        <is>
          <t>DIRECCION GENERAL</t>
        </is>
      </c>
      <c r="C10" s="9" t="inlineStr">
        <is>
          <t>DG-006</t>
        </is>
      </c>
      <c r="D10" s="10" t="inlineStr">
        <is>
          <t>1 SOFA 3 PERSONAS</t>
        </is>
      </c>
      <c r="E10" s="10" t="inlineStr">
        <is>
          <t>MOBILIARIO</t>
        </is>
      </c>
      <c r="F10" s="9" t="inlineStr">
        <is>
          <t>SERVICIO</t>
        </is>
      </c>
      <c r="G10" s="10" t="inlineStr">
        <is>
          <t>OFICINA DIRECTOR GENERAL</t>
        </is>
      </c>
      <c r="H10" s="10" t="inlineStr">
        <is>
          <t>Rosen</t>
        </is>
      </c>
      <c r="I10" s="10" t="inlineStr">
        <is>
          <t>Milano 3 Cuerpos</t>
        </is>
      </c>
      <c r="J10" s="9" t="inlineStr">
        <is>
          <t>SN-DG006-2871</t>
        </is>
      </c>
      <c r="K10" s="11" t="n">
        <v>44280</v>
      </c>
      <c r="L10" s="12" t="n">
        <v>429900</v>
      </c>
      <c r="M10" s="10" t="inlineStr">
        <is>
          <t>DIRECTOR GENERAL</t>
        </is>
      </c>
    </row>
    <row r="11">
      <c r="A11" s="13" t="n">
        <v>7</v>
      </c>
      <c r="B11" s="14" t="inlineStr">
        <is>
          <t>DIRECCION GENERAL</t>
        </is>
      </c>
      <c r="C11" s="13" t="inlineStr">
        <is>
          <t>DG-007</t>
        </is>
      </c>
      <c r="D11" s="14" t="inlineStr">
        <is>
          <t>BUTACA CON BRAZOS</t>
        </is>
      </c>
      <c r="E11" s="14" t="inlineStr">
        <is>
          <t>MOBILIARIO</t>
        </is>
      </c>
      <c r="F11" s="13" t="inlineStr">
        <is>
          <t>SERVICIO</t>
        </is>
      </c>
      <c r="G11" s="14" t="inlineStr">
        <is>
          <t>OFICINA DIRECTOR GENERAL</t>
        </is>
      </c>
      <c r="H11" s="14" t="inlineStr">
        <is>
          <t>Mica</t>
        </is>
      </c>
      <c r="I11" s="14" t="inlineStr">
        <is>
          <t>Oslo con Brazos</t>
        </is>
      </c>
      <c r="J11" s="13" t="inlineStr">
        <is>
          <t>SN-DG007-3008</t>
        </is>
      </c>
      <c r="K11" s="15" t="n">
        <v>44270</v>
      </c>
      <c r="L11" s="16" t="n">
        <v>94990</v>
      </c>
      <c r="M11" s="14" t="inlineStr">
        <is>
          <t>DIRECTOR GENERAL</t>
        </is>
      </c>
    </row>
    <row r="12">
      <c r="A12" s="9" t="n">
        <v>8</v>
      </c>
      <c r="B12" s="10" t="inlineStr">
        <is>
          <t>DIRECCION GENERAL</t>
        </is>
      </c>
      <c r="C12" s="9" t="inlineStr">
        <is>
          <t>DG-008</t>
        </is>
      </c>
      <c r="D12" s="10" t="inlineStr">
        <is>
          <t>BUTACA CON BRAZOS</t>
        </is>
      </c>
      <c r="E12" s="10" t="inlineStr">
        <is>
          <t>MOBILIARIO</t>
        </is>
      </c>
      <c r="F12" s="9" t="inlineStr">
        <is>
          <t>SERVICIO</t>
        </is>
      </c>
      <c r="G12" s="10" t="inlineStr">
        <is>
          <t>OFICINA DIRECTOR GENERAL</t>
        </is>
      </c>
      <c r="H12" s="10" t="inlineStr">
        <is>
          <t>Mica</t>
        </is>
      </c>
      <c r="I12" s="10" t="inlineStr">
        <is>
          <t>Oslo con Brazos</t>
        </is>
      </c>
      <c r="J12" s="9" t="inlineStr">
        <is>
          <t>SN-DG008-3145</t>
        </is>
      </c>
      <c r="K12" s="11" t="n">
        <v>44275</v>
      </c>
      <c r="L12" s="12" t="n">
        <v>94990</v>
      </c>
      <c r="M12" s="10" t="inlineStr">
        <is>
          <t>DIRECTOR GENERAL</t>
        </is>
      </c>
    </row>
    <row r="13">
      <c r="A13" s="13" t="n">
        <v>9</v>
      </c>
      <c r="B13" s="14" t="inlineStr">
        <is>
          <t>DIRECCION GENERAL</t>
        </is>
      </c>
      <c r="C13" s="13" t="inlineStr">
        <is>
          <t>DG-009</t>
        </is>
      </c>
      <c r="D13" s="14" t="inlineStr">
        <is>
          <t>BUTACA CON BRAZOS</t>
        </is>
      </c>
      <c r="E13" s="14" t="inlineStr">
        <is>
          <t>MOBILIARIO</t>
        </is>
      </c>
      <c r="F13" s="13" t="inlineStr">
        <is>
          <t>SERVICIO</t>
        </is>
      </c>
      <c r="G13" s="14" t="inlineStr">
        <is>
          <t>OFICINA DIRECTOR GENERAL</t>
        </is>
      </c>
      <c r="H13" s="14" t="inlineStr">
        <is>
          <t>Mica</t>
        </is>
      </c>
      <c r="I13" s="14" t="inlineStr">
        <is>
          <t>Oslo con Brazos</t>
        </is>
      </c>
      <c r="J13" s="13" t="inlineStr">
        <is>
          <t>SN-DG009-3282</t>
        </is>
      </c>
      <c r="K13" s="15" t="n">
        <v>44280</v>
      </c>
      <c r="L13" s="16" t="n">
        <v>94990</v>
      </c>
      <c r="M13" s="14" t="inlineStr">
        <is>
          <t>DIRECTOR GENERAL</t>
        </is>
      </c>
    </row>
    <row r="14">
      <c r="A14" s="9" t="n">
        <v>10</v>
      </c>
      <c r="B14" s="10" t="inlineStr">
        <is>
          <t>DIRECCION GENERAL</t>
        </is>
      </c>
      <c r="C14" s="9" t="inlineStr">
        <is>
          <t>DG-010</t>
        </is>
      </c>
      <c r="D14" s="10" t="inlineStr">
        <is>
          <t>1 TV DIGITAL LG 45"</t>
        </is>
      </c>
      <c r="E14" s="10" t="inlineStr">
        <is>
          <t>MOBILIARIO</t>
        </is>
      </c>
      <c r="F14" s="9" t="inlineStr">
        <is>
          <t>SERVICIO</t>
        </is>
      </c>
      <c r="G14" s="10" t="inlineStr">
        <is>
          <t>OFICINA DIRECTOR GENERAL</t>
        </is>
      </c>
      <c r="H14" s="10" t="inlineStr">
        <is>
          <t>LG</t>
        </is>
      </c>
      <c r="I14" s="10" t="inlineStr">
        <is>
          <t>45UR7300 UHD</t>
        </is>
      </c>
      <c r="J14" s="9" t="inlineStr">
        <is>
          <t>SN-DG010-3419</t>
        </is>
      </c>
      <c r="K14" s="11" t="n">
        <v>44270</v>
      </c>
      <c r="L14" s="12" t="n">
        <v>329900</v>
      </c>
      <c r="M14" s="10" t="inlineStr">
        <is>
          <t>DIRECTOR GENERAL</t>
        </is>
      </c>
    </row>
    <row r="15">
      <c r="A15" s="13" t="n">
        <v>11</v>
      </c>
      <c r="B15" s="14" t="inlineStr">
        <is>
          <t>DIRECCION GENERAL</t>
        </is>
      </c>
      <c r="C15" s="13" t="inlineStr">
        <is>
          <t>DG-011</t>
        </is>
      </c>
      <c r="D15" s="14" t="inlineStr">
        <is>
          <t>1 LAPTOP</t>
        </is>
      </c>
      <c r="E15" s="14" t="inlineStr">
        <is>
          <t>INFORMATICA</t>
        </is>
      </c>
      <c r="F15" s="13" t="inlineStr">
        <is>
          <t>SERVICIO</t>
        </is>
      </c>
      <c r="G15" s="14" t="inlineStr">
        <is>
          <t>OFICINA DIRECTOR GENERAL</t>
        </is>
      </c>
      <c r="H15" s="14" t="inlineStr">
        <is>
          <t>Lenovo</t>
        </is>
      </c>
      <c r="I15" s="14" t="inlineStr">
        <is>
          <t>ThinkPad E14 Gen 5</t>
        </is>
      </c>
      <c r="J15" s="13" t="inlineStr">
        <is>
          <t>SN-DG011-3556</t>
        </is>
      </c>
      <c r="K15" s="15" t="n">
        <v>44275</v>
      </c>
      <c r="L15" s="16" t="n">
        <v>749900</v>
      </c>
      <c r="M15" s="14" t="inlineStr">
        <is>
          <t>DIRECTOR GENERAL</t>
        </is>
      </c>
    </row>
    <row r="16">
      <c r="A16" s="9" t="n">
        <v>12</v>
      </c>
      <c r="B16" s="10" t="inlineStr">
        <is>
          <t>DIRECCION GENERAL</t>
        </is>
      </c>
      <c r="C16" s="9" t="inlineStr">
        <is>
          <t>DG-012</t>
        </is>
      </c>
      <c r="D16" s="10" t="inlineStr">
        <is>
          <t>1 MESA BURO/ 4 GAVETAS</t>
        </is>
      </c>
      <c r="E16" s="10" t="inlineStr">
        <is>
          <t>MOBILIARIO</t>
        </is>
      </c>
      <c r="F16" s="9" t="inlineStr">
        <is>
          <t>SERVICIO</t>
        </is>
      </c>
      <c r="G16" s="10" t="inlineStr">
        <is>
          <t>OFICINA SECRETARIA EJECUTIVA</t>
        </is>
      </c>
      <c r="H16" s="10" t="inlineStr">
        <is>
          <t>Rosen</t>
        </is>
      </c>
      <c r="I16" s="10" t="inlineStr">
        <is>
          <t>Buro Ejecutivo BR-4G120</t>
        </is>
      </c>
      <c r="J16" s="9" t="inlineStr">
        <is>
          <t>SN-DG012-3693</t>
        </is>
      </c>
      <c r="K16" s="11" t="n">
        <v>44367</v>
      </c>
      <c r="L16" s="12" t="n">
        <v>189900</v>
      </c>
      <c r="M16" s="10" t="inlineStr">
        <is>
          <t>SECRETARIA EJECUTIVA</t>
        </is>
      </c>
    </row>
    <row r="17">
      <c r="A17" s="13" t="n">
        <v>13</v>
      </c>
      <c r="B17" s="14" t="inlineStr">
        <is>
          <t>DIRECCION GENERAL</t>
        </is>
      </c>
      <c r="C17" s="13" t="inlineStr">
        <is>
          <t>DG-013</t>
        </is>
      </c>
      <c r="D17" s="14" t="inlineStr">
        <is>
          <t>1 SILLA GIRATORIA</t>
        </is>
      </c>
      <c r="E17" s="14" t="inlineStr">
        <is>
          <t>MOBILIARIO</t>
        </is>
      </c>
      <c r="F17" s="13" t="inlineStr">
        <is>
          <t>SERVICIO</t>
        </is>
      </c>
      <c r="G17" s="14" t="inlineStr">
        <is>
          <t>OFICINA SECRETARIA EJECUTIVA</t>
        </is>
      </c>
      <c r="H17" s="14" t="inlineStr">
        <is>
          <t>Ergosillas</t>
        </is>
      </c>
      <c r="I17" s="14" t="inlineStr">
        <is>
          <t>Pro Ergo 120</t>
        </is>
      </c>
      <c r="J17" s="13" t="inlineStr">
        <is>
          <t>SN-DG013-3830</t>
        </is>
      </c>
      <c r="K17" s="15" t="n">
        <v>44357</v>
      </c>
      <c r="L17" s="16" t="n">
        <v>109900</v>
      </c>
      <c r="M17" s="14" t="inlineStr">
        <is>
          <t>SECRETARIA EJECUTIVA</t>
        </is>
      </c>
    </row>
    <row r="18">
      <c r="A18" s="9" t="n">
        <v>14</v>
      </c>
      <c r="B18" s="10" t="inlineStr">
        <is>
          <t>DIRECCION GENERAL</t>
        </is>
      </c>
      <c r="C18" s="9" t="inlineStr">
        <is>
          <t>DG-014</t>
        </is>
      </c>
      <c r="D18" s="10" t="inlineStr">
        <is>
          <t>1 PC ESCRITORIO</t>
        </is>
      </c>
      <c r="E18" s="10" t="inlineStr">
        <is>
          <t>INFORMATICA</t>
        </is>
      </c>
      <c r="F18" s="9" t="inlineStr">
        <is>
          <t>SERVICIO</t>
        </is>
      </c>
      <c r="G18" s="10" t="inlineStr">
        <is>
          <t>OFICINA SECRETARIA EJECUTIVA</t>
        </is>
      </c>
      <c r="H18" s="10" t="inlineStr">
        <is>
          <t>HP</t>
        </is>
      </c>
      <c r="I18" s="10" t="inlineStr">
        <is>
          <t>ProDesk 400 G9 SFF</t>
        </is>
      </c>
      <c r="J18" s="9" t="inlineStr">
        <is>
          <t>SN-DG014-3967</t>
        </is>
      </c>
      <c r="K18" s="11" t="n">
        <v>44362</v>
      </c>
      <c r="L18" s="12" t="n">
        <v>549900</v>
      </c>
      <c r="M18" s="10" t="inlineStr">
        <is>
          <t>SECRETARIA EJECUTIVA</t>
        </is>
      </c>
    </row>
    <row r="19">
      <c r="A19" s="13" t="n">
        <v>15</v>
      </c>
      <c r="B19" s="14" t="inlineStr">
        <is>
          <t>DIRECCION GENERAL</t>
        </is>
      </c>
      <c r="C19" s="13" t="inlineStr">
        <is>
          <t>DG-015</t>
        </is>
      </c>
      <c r="D19" s="14" t="inlineStr">
        <is>
          <t>1 IMPRESORA</t>
        </is>
      </c>
      <c r="E19" s="14" t="inlineStr">
        <is>
          <t>INFORMATICA</t>
        </is>
      </c>
      <c r="F19" s="13" t="inlineStr">
        <is>
          <t>SERVICIO</t>
        </is>
      </c>
      <c r="G19" s="14" t="inlineStr">
        <is>
          <t>OFICINA SECRETARIA EJECUTIVA</t>
        </is>
      </c>
      <c r="H19" s="14" t="inlineStr">
        <is>
          <t>Epson</t>
        </is>
      </c>
      <c r="I19" s="14" t="inlineStr">
        <is>
          <t>EcoTank L3250</t>
        </is>
      </c>
      <c r="J19" s="13" t="inlineStr">
        <is>
          <t>SN-DG015-4104</t>
        </is>
      </c>
      <c r="K19" s="15" t="n">
        <v>44367</v>
      </c>
      <c r="L19" s="16" t="n">
        <v>179900</v>
      </c>
      <c r="M19" s="14" t="inlineStr">
        <is>
          <t>SECRETARIA EJECUTIVA</t>
        </is>
      </c>
    </row>
    <row r="20">
      <c r="A20" s="9" t="n">
        <v>16</v>
      </c>
      <c r="B20" s="10" t="inlineStr">
        <is>
          <t>DIRECCION GENERAL</t>
        </is>
      </c>
      <c r="C20" s="9" t="inlineStr">
        <is>
          <t>DG-016</t>
        </is>
      </c>
      <c r="D20" s="10" t="inlineStr">
        <is>
          <t>1 VENTILADOR</t>
        </is>
      </c>
      <c r="E20" s="10" t="inlineStr">
        <is>
          <t>EQUIPOS DE CLIMATIZACION Y REFRIGERACION</t>
        </is>
      </c>
      <c r="F20" s="9" t="inlineStr">
        <is>
          <t>SERVICIO</t>
        </is>
      </c>
      <c r="G20" s="10" t="inlineStr">
        <is>
          <t>OFICINA SECRETARIA EJECUTIVA</t>
        </is>
      </c>
      <c r="H20" s="10" t="inlineStr">
        <is>
          <t>Recco</t>
        </is>
      </c>
      <c r="I20" s="10" t="inlineStr">
        <is>
          <t>RVP-45PM Pedestal</t>
        </is>
      </c>
      <c r="J20" s="9" t="inlineStr">
        <is>
          <t>SN-DG016-4241</t>
        </is>
      </c>
      <c r="K20" s="11" t="n">
        <v>44357</v>
      </c>
      <c r="L20" s="12" t="n">
        <v>39990</v>
      </c>
      <c r="M20" s="10" t="inlineStr">
        <is>
          <t>SECRETARIA EJECUTIVA</t>
        </is>
      </c>
    </row>
    <row r="21">
      <c r="A21" s="13" t="n">
        <v>17</v>
      </c>
      <c r="B21" s="14" t="inlineStr">
        <is>
          <t>DIRECCION GENERAL</t>
        </is>
      </c>
      <c r="C21" s="13" t="inlineStr">
        <is>
          <t>DG-017</t>
        </is>
      </c>
      <c r="D21" s="14" t="inlineStr">
        <is>
          <t>BUTACA CON BRAZOS</t>
        </is>
      </c>
      <c r="E21" s="14" t="inlineStr">
        <is>
          <t>MOBILIARIO</t>
        </is>
      </c>
      <c r="F21" s="13" t="inlineStr">
        <is>
          <t>SERVICIO</t>
        </is>
      </c>
      <c r="G21" s="14" t="inlineStr">
        <is>
          <t>OFICINA SECRETARIA EJECUTIVA</t>
        </is>
      </c>
      <c r="H21" s="14" t="inlineStr">
        <is>
          <t>Mica</t>
        </is>
      </c>
      <c r="I21" s="14" t="inlineStr">
        <is>
          <t>Oslo con Brazos</t>
        </is>
      </c>
      <c r="J21" s="13" t="inlineStr">
        <is>
          <t>SN-DG017-4378</t>
        </is>
      </c>
      <c r="K21" s="15" t="n">
        <v>44362</v>
      </c>
      <c r="L21" s="16" t="n">
        <v>94990</v>
      </c>
      <c r="M21" s="14" t="inlineStr">
        <is>
          <t>SECRETARIA EJECUTIVA</t>
        </is>
      </c>
    </row>
    <row r="22">
      <c r="A22" s="9" t="n">
        <v>18</v>
      </c>
      <c r="B22" s="10" t="inlineStr">
        <is>
          <t>DIRECCION GENERAL</t>
        </is>
      </c>
      <c r="C22" s="9" t="inlineStr">
        <is>
          <t>DG-018</t>
        </is>
      </c>
      <c r="D22" s="10" t="inlineStr">
        <is>
          <t>BUTACA CON BRAZOS</t>
        </is>
      </c>
      <c r="E22" s="10" t="inlineStr">
        <is>
          <t>MOBILIARIO</t>
        </is>
      </c>
      <c r="F22" s="9" t="inlineStr">
        <is>
          <t>SERVICIO</t>
        </is>
      </c>
      <c r="G22" s="10" t="inlineStr">
        <is>
          <t>OFICINA SECRETARIA EJECUTIVA</t>
        </is>
      </c>
      <c r="H22" s="10" t="inlineStr">
        <is>
          <t>Mica</t>
        </is>
      </c>
      <c r="I22" s="10" t="inlineStr">
        <is>
          <t>Oslo con Brazos</t>
        </is>
      </c>
      <c r="J22" s="9" t="inlineStr">
        <is>
          <t>SN-DG018-4515</t>
        </is>
      </c>
      <c r="K22" s="11" t="n">
        <v>44367</v>
      </c>
      <c r="L22" s="12" t="n">
        <v>94990</v>
      </c>
      <c r="M22" s="10" t="inlineStr">
        <is>
          <t>SECRETARIA EJECUTIVA</t>
        </is>
      </c>
    </row>
    <row r="23">
      <c r="A23" s="13" t="n">
        <v>19</v>
      </c>
      <c r="B23" s="14" t="inlineStr">
        <is>
          <t>DIRECCION GENERAL</t>
        </is>
      </c>
      <c r="C23" s="13" t="inlineStr">
        <is>
          <t>DG-019</t>
        </is>
      </c>
      <c r="D23" s="14" t="inlineStr">
        <is>
          <t>1 CREDENZA 4 GAVETAS, METALICA</t>
        </is>
      </c>
      <c r="E23" s="14" t="inlineStr">
        <is>
          <t>MOBILIARIO</t>
        </is>
      </c>
      <c r="F23" s="13" t="inlineStr">
        <is>
          <t>SERVICIO</t>
        </is>
      </c>
      <c r="G23" s="14" t="inlineStr">
        <is>
          <t>OFICINA SECRETARIA EJECUTIVA</t>
        </is>
      </c>
      <c r="H23" s="14" t="inlineStr">
        <is>
          <t>Dimeiggs</t>
        </is>
      </c>
      <c r="I23" s="14" t="inlineStr">
        <is>
          <t>Credenza Metalica CRD-4G</t>
        </is>
      </c>
      <c r="J23" s="13" t="inlineStr">
        <is>
          <t>SN-DG019-4652</t>
        </is>
      </c>
      <c r="K23" s="15" t="n">
        <v>44357</v>
      </c>
      <c r="L23" s="16" t="n">
        <v>229900</v>
      </c>
      <c r="M23" s="14" t="inlineStr">
        <is>
          <t>SECRETARIA EJECUTIVA</t>
        </is>
      </c>
    </row>
    <row r="24">
      <c r="A24" s="9" t="n">
        <v>20</v>
      </c>
      <c r="B24" s="10" t="inlineStr">
        <is>
          <t>DIRECCION GENERAL</t>
        </is>
      </c>
      <c r="C24" s="9" t="inlineStr">
        <is>
          <t>DG-020</t>
        </is>
      </c>
      <c r="D24" s="10" t="inlineStr">
        <is>
          <t>1 MESA REUNIONES 12 PLAZAS</t>
        </is>
      </c>
      <c r="E24" s="10" t="inlineStr">
        <is>
          <t>MOBILIARIO</t>
        </is>
      </c>
      <c r="F24" s="9" t="inlineStr">
        <is>
          <t>SERVICIO</t>
        </is>
      </c>
      <c r="G24" s="10" t="inlineStr">
        <is>
          <t>SALON REUNIONES</t>
        </is>
      </c>
      <c r="H24" s="10" t="inlineStr">
        <is>
          <t>Rosen</t>
        </is>
      </c>
      <c r="I24" s="10" t="inlineStr">
        <is>
          <t>Conference 360 / 12P</t>
        </is>
      </c>
      <c r="J24" s="9" t="inlineStr">
        <is>
          <t>SN-DG020-4789</t>
        </is>
      </c>
      <c r="K24" s="11" t="n">
        <v>44586</v>
      </c>
      <c r="L24" s="12" t="n">
        <v>879900</v>
      </c>
      <c r="M24" s="10" t="inlineStr">
        <is>
          <t>SECRETARIA EJECUTIVA</t>
        </is>
      </c>
    </row>
    <row r="25">
      <c r="A25" s="13" t="n">
        <v>21</v>
      </c>
      <c r="B25" s="14" t="inlineStr">
        <is>
          <t>DIRECCION GENERAL</t>
        </is>
      </c>
      <c r="C25" s="13" t="inlineStr">
        <is>
          <t>DG-021</t>
        </is>
      </c>
      <c r="D25" s="14" t="inlineStr">
        <is>
          <t>SILLA</t>
        </is>
      </c>
      <c r="E25" s="14" t="inlineStr">
        <is>
          <t>MOBILIARIO</t>
        </is>
      </c>
      <c r="F25" s="13" t="inlineStr">
        <is>
          <t>SERVICIO</t>
        </is>
      </c>
      <c r="G25" s="14" t="inlineStr">
        <is>
          <t>SALON REUNIONES</t>
        </is>
      </c>
      <c r="H25" s="14" t="inlineStr">
        <is>
          <t>Mica</t>
        </is>
      </c>
      <c r="I25" s="14" t="inlineStr">
        <is>
          <t>Vienna Apilable</t>
        </is>
      </c>
      <c r="J25" s="13" t="inlineStr">
        <is>
          <t>SN-DG021-4926</t>
        </is>
      </c>
      <c r="K25" s="15" t="n">
        <v>44589</v>
      </c>
      <c r="L25" s="16" t="n">
        <v>44990</v>
      </c>
      <c r="M25" s="14" t="inlineStr">
        <is>
          <t>SECRETARIA EJECUTIVA</t>
        </is>
      </c>
    </row>
    <row r="26">
      <c r="A26" s="9" t="n">
        <v>22</v>
      </c>
      <c r="B26" s="10" t="inlineStr">
        <is>
          <t>DIRECCION GENERAL</t>
        </is>
      </c>
      <c r="C26" s="9" t="inlineStr">
        <is>
          <t>DG-022</t>
        </is>
      </c>
      <c r="D26" s="10" t="inlineStr">
        <is>
          <t>SILLA</t>
        </is>
      </c>
      <c r="E26" s="10" t="inlineStr">
        <is>
          <t>MOBILIARIO</t>
        </is>
      </c>
      <c r="F26" s="9" t="inlineStr">
        <is>
          <t>SERVICIO</t>
        </is>
      </c>
      <c r="G26" s="10" t="inlineStr">
        <is>
          <t>SALON REUNIONES</t>
        </is>
      </c>
      <c r="H26" s="10" t="inlineStr">
        <is>
          <t>Mica</t>
        </is>
      </c>
      <c r="I26" s="10" t="inlineStr">
        <is>
          <t>Vienna Apilable</t>
        </is>
      </c>
      <c r="J26" s="9" t="inlineStr">
        <is>
          <t>SN-DG022-5063</t>
        </is>
      </c>
      <c r="K26" s="11" t="n">
        <v>44581</v>
      </c>
      <c r="L26" s="12" t="n">
        <v>44990</v>
      </c>
      <c r="M26" s="10" t="inlineStr">
        <is>
          <t>SECRETARIA EJECUTIVA</t>
        </is>
      </c>
    </row>
    <row r="27">
      <c r="A27" s="13" t="n">
        <v>23</v>
      </c>
      <c r="B27" s="14" t="inlineStr">
        <is>
          <t>DIRECCION GENERAL</t>
        </is>
      </c>
      <c r="C27" s="13" t="inlineStr">
        <is>
          <t>DG-023</t>
        </is>
      </c>
      <c r="D27" s="14" t="inlineStr">
        <is>
          <t>SILLA</t>
        </is>
      </c>
      <c r="E27" s="14" t="inlineStr">
        <is>
          <t>MOBILIARIO</t>
        </is>
      </c>
      <c r="F27" s="13" t="inlineStr">
        <is>
          <t>SERVICIO</t>
        </is>
      </c>
      <c r="G27" s="14" t="inlineStr">
        <is>
          <t>SALON REUNIONES</t>
        </is>
      </c>
      <c r="H27" s="14" t="inlineStr">
        <is>
          <t>Mica</t>
        </is>
      </c>
      <c r="I27" s="14" t="inlineStr">
        <is>
          <t>Vienna Apilable</t>
        </is>
      </c>
      <c r="J27" s="13" t="inlineStr">
        <is>
          <t>SN-DG023-5200</t>
        </is>
      </c>
      <c r="K27" s="15" t="n">
        <v>44586</v>
      </c>
      <c r="L27" s="16" t="n">
        <v>44990</v>
      </c>
      <c r="M27" s="14" t="inlineStr">
        <is>
          <t>SECRETARIA EJECUTIVA</t>
        </is>
      </c>
    </row>
    <row r="28">
      <c r="A28" s="9" t="n">
        <v>24</v>
      </c>
      <c r="B28" s="10" t="inlineStr">
        <is>
          <t>DIRECCION GENERAL</t>
        </is>
      </c>
      <c r="C28" s="9" t="inlineStr">
        <is>
          <t>DG-024</t>
        </is>
      </c>
      <c r="D28" s="10" t="inlineStr">
        <is>
          <t>SILLA</t>
        </is>
      </c>
      <c r="E28" s="10" t="inlineStr">
        <is>
          <t>MOBILIARIO</t>
        </is>
      </c>
      <c r="F28" s="9" t="inlineStr">
        <is>
          <t>SERVICIO</t>
        </is>
      </c>
      <c r="G28" s="10" t="inlineStr">
        <is>
          <t>SALON REUNIONES</t>
        </is>
      </c>
      <c r="H28" s="10" t="inlineStr">
        <is>
          <t>Mica</t>
        </is>
      </c>
      <c r="I28" s="10" t="inlineStr">
        <is>
          <t>Vienna Apilable</t>
        </is>
      </c>
      <c r="J28" s="9" t="inlineStr">
        <is>
          <t>SN-DG024-5337</t>
        </is>
      </c>
      <c r="K28" s="11" t="n">
        <v>44589</v>
      </c>
      <c r="L28" s="12" t="n">
        <v>44990</v>
      </c>
      <c r="M28" s="10" t="inlineStr">
        <is>
          <t>SECRETARIA EJECUTIVA</t>
        </is>
      </c>
    </row>
    <row r="29">
      <c r="A29" s="13" t="n">
        <v>25</v>
      </c>
      <c r="B29" s="14" t="inlineStr">
        <is>
          <t>DIRECCION GENERAL</t>
        </is>
      </c>
      <c r="C29" s="13" t="inlineStr">
        <is>
          <t>DG-025</t>
        </is>
      </c>
      <c r="D29" s="14" t="inlineStr">
        <is>
          <t>SILLA</t>
        </is>
      </c>
      <c r="E29" s="14" t="inlineStr">
        <is>
          <t>MOBILIARIO</t>
        </is>
      </c>
      <c r="F29" s="13" t="inlineStr">
        <is>
          <t>SERVICIO</t>
        </is>
      </c>
      <c r="G29" s="14" t="inlineStr">
        <is>
          <t>SALON REUNIONES</t>
        </is>
      </c>
      <c r="H29" s="14" t="inlineStr">
        <is>
          <t>Mica</t>
        </is>
      </c>
      <c r="I29" s="14" t="inlineStr">
        <is>
          <t>Vienna Apilable</t>
        </is>
      </c>
      <c r="J29" s="13" t="inlineStr">
        <is>
          <t>SN-DG025-5474</t>
        </is>
      </c>
      <c r="K29" s="15" t="n">
        <v>44581</v>
      </c>
      <c r="L29" s="16" t="n">
        <v>44990</v>
      </c>
      <c r="M29" s="14" t="inlineStr">
        <is>
          <t>SECRETARIA EJECUTIVA</t>
        </is>
      </c>
    </row>
    <row r="30">
      <c r="A30" s="9" t="n">
        <v>26</v>
      </c>
      <c r="B30" s="10" t="inlineStr">
        <is>
          <t>DIRECCION GENERAL</t>
        </is>
      </c>
      <c r="C30" s="9" t="inlineStr">
        <is>
          <t>DG-026</t>
        </is>
      </c>
      <c r="D30" s="10" t="inlineStr">
        <is>
          <t>SILLA</t>
        </is>
      </c>
      <c r="E30" s="10" t="inlineStr">
        <is>
          <t>MOBILIARIO</t>
        </is>
      </c>
      <c r="F30" s="9" t="inlineStr">
        <is>
          <t>SERVICIO</t>
        </is>
      </c>
      <c r="G30" s="10" t="inlineStr">
        <is>
          <t>SALON REUNIONES</t>
        </is>
      </c>
      <c r="H30" s="10" t="inlineStr">
        <is>
          <t>Mica</t>
        </is>
      </c>
      <c r="I30" s="10" t="inlineStr">
        <is>
          <t>Vienna Apilable</t>
        </is>
      </c>
      <c r="J30" s="9" t="inlineStr">
        <is>
          <t>SN-DG026-5611</t>
        </is>
      </c>
      <c r="K30" s="11" t="n">
        <v>44586</v>
      </c>
      <c r="L30" s="12" t="n">
        <v>44990</v>
      </c>
      <c r="M30" s="10" t="inlineStr">
        <is>
          <t>SECRETARIA EJECUTIVA</t>
        </is>
      </c>
    </row>
    <row r="31">
      <c r="A31" s="13" t="n">
        <v>27</v>
      </c>
      <c r="B31" s="14" t="inlineStr">
        <is>
          <t>DIRECCION GENERAL</t>
        </is>
      </c>
      <c r="C31" s="13" t="inlineStr">
        <is>
          <t>DG-027</t>
        </is>
      </c>
      <c r="D31" s="14" t="inlineStr">
        <is>
          <t>SILLA</t>
        </is>
      </c>
      <c r="E31" s="14" t="inlineStr">
        <is>
          <t>MOBILIARIO</t>
        </is>
      </c>
      <c r="F31" s="13" t="inlineStr">
        <is>
          <t>SERVICIO</t>
        </is>
      </c>
      <c r="G31" s="14" t="inlineStr">
        <is>
          <t>SALON REUNIONES</t>
        </is>
      </c>
      <c r="H31" s="14" t="inlineStr">
        <is>
          <t>Mica</t>
        </is>
      </c>
      <c r="I31" s="14" t="inlineStr">
        <is>
          <t>Vienna Apilable</t>
        </is>
      </c>
      <c r="J31" s="13" t="inlineStr">
        <is>
          <t>SN-DG027-5748</t>
        </is>
      </c>
      <c r="K31" s="15" t="n">
        <v>44589</v>
      </c>
      <c r="L31" s="16" t="n">
        <v>44990</v>
      </c>
      <c r="M31" s="14" t="inlineStr">
        <is>
          <t>SECRETARIA EJECUTIVA</t>
        </is>
      </c>
    </row>
    <row r="32">
      <c r="A32" s="9" t="n">
        <v>28</v>
      </c>
      <c r="B32" s="10" t="inlineStr">
        <is>
          <t>DIRECCION GENERAL</t>
        </is>
      </c>
      <c r="C32" s="9" t="inlineStr">
        <is>
          <t>DG-028</t>
        </is>
      </c>
      <c r="D32" s="10" t="inlineStr">
        <is>
          <t>SILLA</t>
        </is>
      </c>
      <c r="E32" s="10" t="inlineStr">
        <is>
          <t>MOBILIARIO</t>
        </is>
      </c>
      <c r="F32" s="9" t="inlineStr">
        <is>
          <t>SERVICIO</t>
        </is>
      </c>
      <c r="G32" s="10" t="inlineStr">
        <is>
          <t>SALON REUNIONES</t>
        </is>
      </c>
      <c r="H32" s="10" t="inlineStr">
        <is>
          <t>Mica</t>
        </is>
      </c>
      <c r="I32" s="10" t="inlineStr">
        <is>
          <t>Vienna Apilable</t>
        </is>
      </c>
      <c r="J32" s="9" t="inlineStr">
        <is>
          <t>SN-DG028-5885</t>
        </is>
      </c>
      <c r="K32" s="11" t="n">
        <v>44581</v>
      </c>
      <c r="L32" s="12" t="n">
        <v>44990</v>
      </c>
      <c r="M32" s="10" t="inlineStr">
        <is>
          <t>SECRETARIA EJECUTIVA</t>
        </is>
      </c>
    </row>
    <row r="33">
      <c r="A33" s="13" t="n">
        <v>29</v>
      </c>
      <c r="B33" s="14" t="inlineStr">
        <is>
          <t>DIRECCION GENERAL</t>
        </is>
      </c>
      <c r="C33" s="13" t="inlineStr">
        <is>
          <t>DG-029</t>
        </is>
      </c>
      <c r="D33" s="14" t="inlineStr">
        <is>
          <t>SILLA</t>
        </is>
      </c>
      <c r="E33" s="14" t="inlineStr">
        <is>
          <t>MOBILIARIO</t>
        </is>
      </c>
      <c r="F33" s="13" t="inlineStr">
        <is>
          <t>SERVICIO</t>
        </is>
      </c>
      <c r="G33" s="14" t="inlineStr">
        <is>
          <t>SALON REUNIONES</t>
        </is>
      </c>
      <c r="H33" s="14" t="inlineStr">
        <is>
          <t>Mica</t>
        </is>
      </c>
      <c r="I33" s="14" t="inlineStr">
        <is>
          <t>Vienna Apilable</t>
        </is>
      </c>
      <c r="J33" s="13" t="inlineStr">
        <is>
          <t>SN-DG029-6022</t>
        </is>
      </c>
      <c r="K33" s="15" t="n">
        <v>44586</v>
      </c>
      <c r="L33" s="16" t="n">
        <v>44990</v>
      </c>
      <c r="M33" s="14" t="inlineStr">
        <is>
          <t>SECRETARIA EJECUTIVA</t>
        </is>
      </c>
    </row>
    <row r="34">
      <c r="A34" s="9" t="n">
        <v>30</v>
      </c>
      <c r="B34" s="10" t="inlineStr">
        <is>
          <t>DIRECCION GENERAL</t>
        </is>
      </c>
      <c r="C34" s="9" t="inlineStr">
        <is>
          <t>DG-030</t>
        </is>
      </c>
      <c r="D34" s="10" t="inlineStr">
        <is>
          <t>SILLA</t>
        </is>
      </c>
      <c r="E34" s="10" t="inlineStr">
        <is>
          <t>MOBILIARIO</t>
        </is>
      </c>
      <c r="F34" s="9" t="inlineStr">
        <is>
          <t>SERVICIO</t>
        </is>
      </c>
      <c r="G34" s="10" t="inlineStr">
        <is>
          <t>SALON REUNIONES</t>
        </is>
      </c>
      <c r="H34" s="10" t="inlineStr">
        <is>
          <t>Mica</t>
        </is>
      </c>
      <c r="I34" s="10" t="inlineStr">
        <is>
          <t>Vienna Apilable</t>
        </is>
      </c>
      <c r="J34" s="9" t="inlineStr">
        <is>
          <t>SN-DG030-6159</t>
        </is>
      </c>
      <c r="K34" s="11" t="n">
        <v>44589</v>
      </c>
      <c r="L34" s="12" t="n">
        <v>44990</v>
      </c>
      <c r="M34" s="10" t="inlineStr">
        <is>
          <t>SECRETARIA EJECUTIVA</t>
        </is>
      </c>
    </row>
    <row r="35">
      <c r="A35" s="13" t="n">
        <v>31</v>
      </c>
      <c r="B35" s="14" t="inlineStr">
        <is>
          <t>DIRECCION GENERAL</t>
        </is>
      </c>
      <c r="C35" s="13" t="inlineStr">
        <is>
          <t>DG-031</t>
        </is>
      </c>
      <c r="D35" s="14" t="inlineStr">
        <is>
          <t>SILLA</t>
        </is>
      </c>
      <c r="E35" s="14" t="inlineStr">
        <is>
          <t>MOBILIARIO</t>
        </is>
      </c>
      <c r="F35" s="13" t="inlineStr">
        <is>
          <t>SERVICIO</t>
        </is>
      </c>
      <c r="G35" s="14" t="inlineStr">
        <is>
          <t>SALON REUNIONES</t>
        </is>
      </c>
      <c r="H35" s="14" t="inlineStr">
        <is>
          <t>Mica</t>
        </is>
      </c>
      <c r="I35" s="14" t="inlineStr">
        <is>
          <t>Vienna Apilable</t>
        </is>
      </c>
      <c r="J35" s="13" t="inlineStr">
        <is>
          <t>SN-DG031-6296</t>
        </is>
      </c>
      <c r="K35" s="15" t="n">
        <v>44581</v>
      </c>
      <c r="L35" s="16" t="n">
        <v>44990</v>
      </c>
      <c r="M35" s="14" t="inlineStr">
        <is>
          <t>SECRETARIA EJECUTIVA</t>
        </is>
      </c>
    </row>
    <row r="36">
      <c r="A36" s="9" t="n">
        <v>32</v>
      </c>
      <c r="B36" s="10" t="inlineStr">
        <is>
          <t>DIRECCION GENERAL</t>
        </is>
      </c>
      <c r="C36" s="9" t="inlineStr">
        <is>
          <t>DG-032</t>
        </is>
      </c>
      <c r="D36" s="10" t="inlineStr">
        <is>
          <t>SILLA</t>
        </is>
      </c>
      <c r="E36" s="10" t="inlineStr">
        <is>
          <t>MOBILIARIO</t>
        </is>
      </c>
      <c r="F36" s="9" t="inlineStr">
        <is>
          <t>SERVICIO</t>
        </is>
      </c>
      <c r="G36" s="10" t="inlineStr">
        <is>
          <t>SALON REUNIONES</t>
        </is>
      </c>
      <c r="H36" s="10" t="inlineStr">
        <is>
          <t>Mica</t>
        </is>
      </c>
      <c r="I36" s="10" t="inlineStr">
        <is>
          <t>Vienna Apilable</t>
        </is>
      </c>
      <c r="J36" s="9" t="inlineStr">
        <is>
          <t>SN-DG032-6433</t>
        </is>
      </c>
      <c r="K36" s="11" t="n">
        <v>44586</v>
      </c>
      <c r="L36" s="12" t="n">
        <v>44990</v>
      </c>
      <c r="M36" s="10" t="inlineStr">
        <is>
          <t>SECRETARIA EJECUTIVA</t>
        </is>
      </c>
    </row>
    <row r="37">
      <c r="A37" s="13" t="n">
        <v>33</v>
      </c>
      <c r="B37" s="14" t="inlineStr">
        <is>
          <t>DIRECCION GENERAL</t>
        </is>
      </c>
      <c r="C37" s="13" t="inlineStr">
        <is>
          <t>DG-033</t>
        </is>
      </c>
      <c r="D37" s="14" t="inlineStr">
        <is>
          <t>1 EQUIPO DE CLIMATIZACION 24000 BTU</t>
        </is>
      </c>
      <c r="E37" s="14" t="inlineStr">
        <is>
          <t>EQUIPOS DE CLIMATIZACION Y REFRIGERACION</t>
        </is>
      </c>
      <c r="F37" s="13" t="inlineStr">
        <is>
          <t>SERVICIO</t>
        </is>
      </c>
      <c r="G37" s="14" t="inlineStr">
        <is>
          <t>SALON REUNIONES</t>
        </is>
      </c>
      <c r="H37" s="14" t="inlineStr">
        <is>
          <t>Midea</t>
        </is>
      </c>
      <c r="I37" s="14" t="inlineStr">
        <is>
          <t>Xtreme Save 24.000 BTU</t>
        </is>
      </c>
      <c r="J37" s="13" t="inlineStr">
        <is>
          <t>SN-DG033-6570</t>
        </is>
      </c>
      <c r="K37" s="15" t="n">
        <v>44589</v>
      </c>
      <c r="L37" s="16" t="n">
        <v>749900</v>
      </c>
      <c r="M37" s="14" t="inlineStr">
        <is>
          <t>SECRETARIA EJECUTIVA</t>
        </is>
      </c>
    </row>
    <row r="38">
      <c r="A38" s="9" t="n">
        <v>34</v>
      </c>
      <c r="B38" s="10" t="inlineStr">
        <is>
          <t>DIRECCION GENERAL</t>
        </is>
      </c>
      <c r="C38" s="9" t="inlineStr">
        <is>
          <t>DG-034</t>
        </is>
      </c>
      <c r="D38" s="10" t="inlineStr">
        <is>
          <t>1 TV DIGITAL 54"</t>
        </is>
      </c>
      <c r="E38" s="10" t="inlineStr">
        <is>
          <t>MOBILIARIO</t>
        </is>
      </c>
      <c r="F38" s="9" t="inlineStr">
        <is>
          <t>SERVICIO</t>
        </is>
      </c>
      <c r="G38" s="10" t="inlineStr">
        <is>
          <t>SALON REUNIONES</t>
        </is>
      </c>
      <c r="H38" s="10" t="inlineStr">
        <is>
          <t>Samsung</t>
        </is>
      </c>
      <c r="I38" s="10" t="inlineStr">
        <is>
          <t>UN55DU7000 Crystal UHD</t>
        </is>
      </c>
      <c r="J38" s="9" t="inlineStr">
        <is>
          <t>SN-DG034-6707</t>
        </is>
      </c>
      <c r="K38" s="11" t="n">
        <v>44581</v>
      </c>
      <c r="L38" s="12" t="n">
        <v>469900</v>
      </c>
      <c r="M38" s="10" t="inlineStr">
        <is>
          <t>SECRETARIA EJECUTIVA</t>
        </is>
      </c>
    </row>
    <row r="39">
      <c r="A39" s="13" t="n">
        <v>35</v>
      </c>
      <c r="B39" s="14" t="inlineStr">
        <is>
          <t>DIRECCION GENERAL</t>
        </is>
      </c>
      <c r="C39" s="13" t="inlineStr">
        <is>
          <t>DG-035</t>
        </is>
      </c>
      <c r="D39" s="14" t="inlineStr">
        <is>
          <t>1 VIDEO BEAM</t>
        </is>
      </c>
      <c r="E39" s="14" t="inlineStr">
        <is>
          <t>INFORMATICA</t>
        </is>
      </c>
      <c r="F39" s="17" t="inlineStr">
        <is>
          <t>MTTO</t>
        </is>
      </c>
      <c r="G39" s="14" t="inlineStr">
        <is>
          <t>SALON REUNIONES</t>
        </is>
      </c>
      <c r="H39" s="14" t="inlineStr">
        <is>
          <t>Epson</t>
        </is>
      </c>
      <c r="I39" s="14" t="inlineStr">
        <is>
          <t>PowerLite E20</t>
        </is>
      </c>
      <c r="J39" s="13" t="inlineStr">
        <is>
          <t>SN-DG035-6844</t>
        </is>
      </c>
      <c r="K39" s="15" t="n">
        <v>44586</v>
      </c>
      <c r="L39" s="16" t="n">
        <v>519900</v>
      </c>
      <c r="M39" s="14" t="inlineStr">
        <is>
          <t>SECRETARIA EJECUTIVA</t>
        </is>
      </c>
    </row>
    <row r="40">
      <c r="A40" s="9" t="n">
        <v>36</v>
      </c>
      <c r="B40" s="10" t="inlineStr">
        <is>
          <t>DIRECCION GENERAL</t>
        </is>
      </c>
      <c r="C40" s="9" t="inlineStr">
        <is>
          <t>DG-036</t>
        </is>
      </c>
      <c r="D40" s="10" t="inlineStr">
        <is>
          <t>1 PANTALLA VIDEO BEAM</t>
        </is>
      </c>
      <c r="E40" s="10" t="inlineStr">
        <is>
          <t>INFORMATICA</t>
        </is>
      </c>
      <c r="F40" s="9" t="inlineStr">
        <is>
          <t>SERVICIO</t>
        </is>
      </c>
      <c r="G40" s="10" t="inlineStr">
        <is>
          <t>SALON REUNIONES</t>
        </is>
      </c>
      <c r="H40" s="10" t="inlineStr">
        <is>
          <t>Klip Xtreme</t>
        </is>
      </c>
      <c r="I40" s="10" t="inlineStr">
        <is>
          <t>KPS-100 Tripode 100 pulg.</t>
        </is>
      </c>
      <c r="J40" s="9" t="inlineStr">
        <is>
          <t>SN-DG036-6981</t>
        </is>
      </c>
      <c r="K40" s="11" t="n">
        <v>44589</v>
      </c>
      <c r="L40" s="12" t="n">
        <v>129900</v>
      </c>
      <c r="M40" s="10" t="inlineStr">
        <is>
          <t>SECRETARIA EJECUTIVA</t>
        </is>
      </c>
    </row>
    <row r="41">
      <c r="A41" s="13" t="n">
        <v>37</v>
      </c>
      <c r="B41" s="14" t="inlineStr">
        <is>
          <t>DIRECCION GENERAL</t>
        </is>
      </c>
      <c r="C41" s="13" t="inlineStr">
        <is>
          <t>DG-037</t>
        </is>
      </c>
      <c r="D41" s="14" t="inlineStr">
        <is>
          <t>VENTILADOR</t>
        </is>
      </c>
      <c r="E41" s="14" t="inlineStr">
        <is>
          <t>EQUIPOS DE CLIMATIZACION Y REFRIGERACION</t>
        </is>
      </c>
      <c r="F41" s="13" t="inlineStr">
        <is>
          <t>SERVICIO</t>
        </is>
      </c>
      <c r="G41" s="14" t="inlineStr">
        <is>
          <t>SALON REUNIONES</t>
        </is>
      </c>
      <c r="H41" s="14" t="inlineStr">
        <is>
          <t>Recco</t>
        </is>
      </c>
      <c r="I41" s="14" t="inlineStr">
        <is>
          <t>RVP-45PM Pedestal</t>
        </is>
      </c>
      <c r="J41" s="13" t="inlineStr">
        <is>
          <t>SN-DG037-7118</t>
        </is>
      </c>
      <c r="K41" s="15" t="n">
        <v>44581</v>
      </c>
      <c r="L41" s="16" t="n">
        <v>39990</v>
      </c>
      <c r="M41" s="14" t="inlineStr">
        <is>
          <t>SECRETARIA EJECUTIVA</t>
        </is>
      </c>
    </row>
    <row r="42">
      <c r="A42" s="9" t="n">
        <v>38</v>
      </c>
      <c r="B42" s="10" t="inlineStr">
        <is>
          <t>DIRECCION GENERAL</t>
        </is>
      </c>
      <c r="C42" s="9" t="inlineStr">
        <is>
          <t>DG-038</t>
        </is>
      </c>
      <c r="D42" s="10" t="inlineStr">
        <is>
          <t>VENTILADOR</t>
        </is>
      </c>
      <c r="E42" s="10" t="inlineStr">
        <is>
          <t>EQUIPOS DE CLIMATIZACION Y REFRIGERACION</t>
        </is>
      </c>
      <c r="F42" s="9" t="inlineStr">
        <is>
          <t>SERVICIO</t>
        </is>
      </c>
      <c r="G42" s="10" t="inlineStr">
        <is>
          <t>SALON REUNIONES</t>
        </is>
      </c>
      <c r="H42" s="10" t="inlineStr">
        <is>
          <t>Recco</t>
        </is>
      </c>
      <c r="I42" s="10" t="inlineStr">
        <is>
          <t>RVP-45PM Pedestal</t>
        </is>
      </c>
      <c r="J42" s="9" t="inlineStr">
        <is>
          <t>SN-DG038-7255</t>
        </is>
      </c>
      <c r="K42" s="11" t="n">
        <v>44586</v>
      </c>
      <c r="L42" s="12" t="n">
        <v>39990</v>
      </c>
      <c r="M42" s="10" t="inlineStr">
        <is>
          <t>SECRETARIA EJECUTIVA</t>
        </is>
      </c>
    </row>
    <row r="43">
      <c r="A43" s="13" t="n">
        <v>39</v>
      </c>
      <c r="B43" s="14" t="inlineStr">
        <is>
          <t>DIRECCION GENERAL</t>
        </is>
      </c>
      <c r="C43" s="13" t="inlineStr">
        <is>
          <t>DG-039</t>
        </is>
      </c>
      <c r="D43" s="14" t="inlineStr">
        <is>
          <t>VENTILADOR</t>
        </is>
      </c>
      <c r="E43" s="14" t="inlineStr">
        <is>
          <t>EQUIPOS DE CLIMATIZACION Y REFRIGERACION</t>
        </is>
      </c>
      <c r="F43" s="13" t="inlineStr">
        <is>
          <t>SERVICIO</t>
        </is>
      </c>
      <c r="G43" s="14" t="inlineStr">
        <is>
          <t>SALON REUNIONES</t>
        </is>
      </c>
      <c r="H43" s="14" t="inlineStr">
        <is>
          <t>Recco</t>
        </is>
      </c>
      <c r="I43" s="14" t="inlineStr">
        <is>
          <t>RVP-45PM Pedestal</t>
        </is>
      </c>
      <c r="J43" s="13" t="inlineStr">
        <is>
          <t>SN-DG039-7392</t>
        </is>
      </c>
      <c r="K43" s="15" t="n">
        <v>44589</v>
      </c>
      <c r="L43" s="16" t="n">
        <v>39990</v>
      </c>
      <c r="M43" s="14" t="inlineStr">
        <is>
          <t>SECRETARIA EJECUTIVA</t>
        </is>
      </c>
    </row>
    <row r="44">
      <c r="A44" s="9" t="n">
        <v>40</v>
      </c>
      <c r="B44" s="10" t="inlineStr">
        <is>
          <t>DIRECCION GENERAL</t>
        </is>
      </c>
      <c r="C44" s="9" t="inlineStr">
        <is>
          <t>DG-040</t>
        </is>
      </c>
      <c r="D44" s="10" t="inlineStr">
        <is>
          <t>VENTILADOR</t>
        </is>
      </c>
      <c r="E44" s="10" t="inlineStr">
        <is>
          <t>EQUIPOS DE CLIMATIZACION Y REFRIGERACION</t>
        </is>
      </c>
      <c r="F44" s="9" t="inlineStr">
        <is>
          <t>SERVICIO</t>
        </is>
      </c>
      <c r="G44" s="10" t="inlineStr">
        <is>
          <t>SALON REUNIONES</t>
        </is>
      </c>
      <c r="H44" s="10" t="inlineStr">
        <is>
          <t>Recco</t>
        </is>
      </c>
      <c r="I44" s="10" t="inlineStr">
        <is>
          <t>RVP-45PM Pedestal</t>
        </is>
      </c>
      <c r="J44" s="9" t="inlineStr">
        <is>
          <t>SN-DG040-7529</t>
        </is>
      </c>
      <c r="K44" s="11" t="n">
        <v>44581</v>
      </c>
      <c r="L44" s="12" t="n">
        <v>39990</v>
      </c>
      <c r="M44" s="10" t="inlineStr">
        <is>
          <t>SECRETARIA EJECUTIVA</t>
        </is>
      </c>
    </row>
    <row r="45">
      <c r="A45" s="13" t="n">
        <v>41</v>
      </c>
      <c r="B45" s="14" t="inlineStr">
        <is>
          <t>DIRECCION GENERAL</t>
        </is>
      </c>
      <c r="C45" s="13" t="inlineStr">
        <is>
          <t>DG-041</t>
        </is>
      </c>
      <c r="D45" s="14" t="inlineStr">
        <is>
          <t>MESA BURO/ 4 GAVETAS</t>
        </is>
      </c>
      <c r="E45" s="14" t="inlineStr">
        <is>
          <t>MOBILIARIO</t>
        </is>
      </c>
      <c r="F45" s="13" t="inlineStr">
        <is>
          <t>SERVICIO</t>
        </is>
      </c>
      <c r="G45" s="14" t="inlineStr">
        <is>
          <t>JURIDICO</t>
        </is>
      </c>
      <c r="H45" s="14" t="inlineStr">
        <is>
          <t>Rosen</t>
        </is>
      </c>
      <c r="I45" s="14" t="inlineStr">
        <is>
          <t>Buro Ejecutivo BR-4G120</t>
        </is>
      </c>
      <c r="J45" s="13" t="inlineStr">
        <is>
          <t>SN-DG041-7666</t>
        </is>
      </c>
      <c r="K45" s="15" t="n">
        <v>44783</v>
      </c>
      <c r="L45" s="16" t="n">
        <v>189900</v>
      </c>
      <c r="M45" s="14" t="inlineStr">
        <is>
          <t>ABOGADO PRINCIPAL</t>
        </is>
      </c>
    </row>
    <row r="46">
      <c r="A46" s="9" t="n">
        <v>42</v>
      </c>
      <c r="B46" s="10" t="inlineStr">
        <is>
          <t>DIRECCION GENERAL</t>
        </is>
      </c>
      <c r="C46" s="9" t="inlineStr">
        <is>
          <t>DG-042</t>
        </is>
      </c>
      <c r="D46" s="10" t="inlineStr">
        <is>
          <t>MESA BURO/ 4 GAVETAS</t>
        </is>
      </c>
      <c r="E46" s="10" t="inlineStr">
        <is>
          <t>MOBILIARIO</t>
        </is>
      </c>
      <c r="F46" s="18" t="inlineStr">
        <is>
          <t>SERVICIO</t>
        </is>
      </c>
      <c r="G46" s="10" t="inlineStr">
        <is>
          <t>JURIDICO</t>
        </is>
      </c>
      <c r="H46" s="10" t="inlineStr">
        <is>
          <t>Rosen</t>
        </is>
      </c>
      <c r="I46" s="10" t="inlineStr">
        <is>
          <t>Buro Ejecutivo BR-4G120</t>
        </is>
      </c>
      <c r="J46" s="9" t="inlineStr">
        <is>
          <t>SN-DG042-7803</t>
        </is>
      </c>
      <c r="K46" s="11" t="n">
        <v>44788</v>
      </c>
      <c r="L46" s="12" t="n">
        <v>189900</v>
      </c>
      <c r="M46" s="10" t="inlineStr">
        <is>
          <t>ABOGADO PRINCIPAL</t>
        </is>
      </c>
    </row>
    <row r="47">
      <c r="A47" s="13" t="n">
        <v>43</v>
      </c>
      <c r="B47" s="14" t="inlineStr">
        <is>
          <t>DIRECCION GENERAL</t>
        </is>
      </c>
      <c r="C47" s="13" t="inlineStr">
        <is>
          <t>DG-043</t>
        </is>
      </c>
      <c r="D47" s="14" t="inlineStr">
        <is>
          <t>SILLA GIRATORIA</t>
        </is>
      </c>
      <c r="E47" s="14" t="inlineStr">
        <is>
          <t>MOBILIARIO</t>
        </is>
      </c>
      <c r="F47" s="18" t="inlineStr">
        <is>
          <t>SERVICIO</t>
        </is>
      </c>
      <c r="G47" s="14" t="inlineStr">
        <is>
          <t>JURIDICO</t>
        </is>
      </c>
      <c r="H47" s="14" t="inlineStr">
        <is>
          <t>Ergosillas</t>
        </is>
      </c>
      <c r="I47" s="14" t="inlineStr">
        <is>
          <t>Pro Ergo 120</t>
        </is>
      </c>
      <c r="J47" s="13" t="inlineStr">
        <is>
          <t>SN-DG043-7940</t>
        </is>
      </c>
      <c r="K47" s="15" t="n">
        <v>44778</v>
      </c>
      <c r="L47" s="16" t="n">
        <v>109900</v>
      </c>
      <c r="M47" s="14" t="inlineStr">
        <is>
          <t>ABOGADO PRINCIPAL</t>
        </is>
      </c>
    </row>
    <row r="48">
      <c r="A48" s="9" t="n">
        <v>44</v>
      </c>
      <c r="B48" s="10" t="inlineStr">
        <is>
          <t>DIRECCION GENERAL</t>
        </is>
      </c>
      <c r="C48" s="9" t="inlineStr">
        <is>
          <t>DG-044</t>
        </is>
      </c>
      <c r="D48" s="10" t="inlineStr">
        <is>
          <t>SILLA GIRATORIA</t>
        </is>
      </c>
      <c r="E48" s="10" t="inlineStr">
        <is>
          <t>MOBILIARIO</t>
        </is>
      </c>
      <c r="F48" s="9" t="inlineStr">
        <is>
          <t>SERVICIO</t>
        </is>
      </c>
      <c r="G48" s="10" t="inlineStr">
        <is>
          <t>JURIDICO</t>
        </is>
      </c>
      <c r="H48" s="10" t="inlineStr">
        <is>
          <t>Ergosillas</t>
        </is>
      </c>
      <c r="I48" s="10" t="inlineStr">
        <is>
          <t>Pro Ergo 120</t>
        </is>
      </c>
      <c r="J48" s="9" t="inlineStr">
        <is>
          <t>SN-DG044-8077</t>
        </is>
      </c>
      <c r="K48" s="11" t="n">
        <v>44783</v>
      </c>
      <c r="L48" s="12" t="n">
        <v>109900</v>
      </c>
      <c r="M48" s="10" t="inlineStr">
        <is>
          <t>ABOGADO PRINCIPAL</t>
        </is>
      </c>
    </row>
    <row r="49">
      <c r="A49" s="13" t="n">
        <v>45</v>
      </c>
      <c r="B49" s="14" t="inlineStr">
        <is>
          <t>DIRECCION GENERAL</t>
        </is>
      </c>
      <c r="C49" s="13" t="inlineStr">
        <is>
          <t>DG-045</t>
        </is>
      </c>
      <c r="D49" s="14" t="inlineStr">
        <is>
          <t>VENTILADOR</t>
        </is>
      </c>
      <c r="E49" s="14" t="inlineStr">
        <is>
          <t>EQUIPOS DE CLIMATIZACION Y REFRIGERACION</t>
        </is>
      </c>
      <c r="F49" s="13" t="inlineStr">
        <is>
          <t>SERVICIO</t>
        </is>
      </c>
      <c r="G49" s="14" t="inlineStr">
        <is>
          <t>JURIDICO</t>
        </is>
      </c>
      <c r="H49" s="14" t="inlineStr">
        <is>
          <t>Recco</t>
        </is>
      </c>
      <c r="I49" s="14" t="inlineStr">
        <is>
          <t>RVP-45PM Pedestal</t>
        </is>
      </c>
      <c r="J49" s="13" t="inlineStr">
        <is>
          <t>SN-DG045-8214</t>
        </is>
      </c>
      <c r="K49" s="15" t="n">
        <v>44788</v>
      </c>
      <c r="L49" s="16" t="n">
        <v>39990</v>
      </c>
      <c r="M49" s="14" t="inlineStr">
        <is>
          <t>ABOGADO PRINCIPAL</t>
        </is>
      </c>
    </row>
    <row r="50">
      <c r="A50" s="9" t="n">
        <v>46</v>
      </c>
      <c r="B50" s="10" t="inlineStr">
        <is>
          <t>DIRECCION GENERAL</t>
        </is>
      </c>
      <c r="C50" s="9" t="inlineStr">
        <is>
          <t>DG-046</t>
        </is>
      </c>
      <c r="D50" s="10" t="inlineStr">
        <is>
          <t>VENTILADOR</t>
        </is>
      </c>
      <c r="E50" s="10" t="inlineStr">
        <is>
          <t>EQUIPOS DE CLIMATIZACION Y REFRIGERACION</t>
        </is>
      </c>
      <c r="F50" s="9" t="inlineStr">
        <is>
          <t>SERVICIO</t>
        </is>
      </c>
      <c r="G50" s="10" t="inlineStr">
        <is>
          <t>JURIDICO</t>
        </is>
      </c>
      <c r="H50" s="10" t="inlineStr">
        <is>
          <t>Recco</t>
        </is>
      </c>
      <c r="I50" s="10" t="inlineStr">
        <is>
          <t>RVP-45PM Pedestal</t>
        </is>
      </c>
      <c r="J50" s="9" t="inlineStr">
        <is>
          <t>SN-DG046-8351</t>
        </is>
      </c>
      <c r="K50" s="11" t="n">
        <v>44778</v>
      </c>
      <c r="L50" s="12" t="n">
        <v>39990</v>
      </c>
      <c r="M50" s="10" t="inlineStr">
        <is>
          <t>ABOGADO PRINCIPAL</t>
        </is>
      </c>
    </row>
    <row r="51">
      <c r="A51" s="13" t="n">
        <v>47</v>
      </c>
      <c r="B51" s="14" t="inlineStr">
        <is>
          <t>DIRECCION GENERAL</t>
        </is>
      </c>
      <c r="C51" s="13" t="inlineStr">
        <is>
          <t>DG-047</t>
        </is>
      </c>
      <c r="D51" s="14" t="inlineStr">
        <is>
          <t>PC ESCRITORIO</t>
        </is>
      </c>
      <c r="E51" s="14" t="inlineStr">
        <is>
          <t>INFORMATICA</t>
        </is>
      </c>
      <c r="F51" s="13" t="inlineStr">
        <is>
          <t>SERVICIO</t>
        </is>
      </c>
      <c r="G51" s="14" t="inlineStr">
        <is>
          <t>JURIDICO</t>
        </is>
      </c>
      <c r="H51" s="14" t="inlineStr">
        <is>
          <t>HP</t>
        </is>
      </c>
      <c r="I51" s="14" t="inlineStr">
        <is>
          <t>ProDesk 400 G9 SFF</t>
        </is>
      </c>
      <c r="J51" s="13" t="inlineStr">
        <is>
          <t>SN-DG047-8488</t>
        </is>
      </c>
      <c r="K51" s="15" t="n">
        <v>44783</v>
      </c>
      <c r="L51" s="16" t="n">
        <v>549900</v>
      </c>
      <c r="M51" s="14" t="inlineStr">
        <is>
          <t>ABOGADO PRINCIPAL</t>
        </is>
      </c>
    </row>
    <row r="52">
      <c r="A52" s="9" t="n">
        <v>48</v>
      </c>
      <c r="B52" s="10" t="inlineStr">
        <is>
          <t>DIRECCION GENERAL</t>
        </is>
      </c>
      <c r="C52" s="9" t="inlineStr">
        <is>
          <t>DG-048</t>
        </is>
      </c>
      <c r="D52" s="10" t="inlineStr">
        <is>
          <t>PC ESCRITORIO</t>
        </is>
      </c>
      <c r="E52" s="19" t="inlineStr">
        <is>
          <t>INFORMATICA</t>
        </is>
      </c>
      <c r="F52" s="18" t="inlineStr">
        <is>
          <t>SERVICIO</t>
        </is>
      </c>
      <c r="G52" s="10" t="inlineStr">
        <is>
          <t>JURIDICO</t>
        </is>
      </c>
      <c r="H52" s="10" t="inlineStr">
        <is>
          <t>HP</t>
        </is>
      </c>
      <c r="I52" s="10" t="inlineStr">
        <is>
          <t>ProDesk 400 G9 SFF</t>
        </is>
      </c>
      <c r="J52" s="9" t="inlineStr">
        <is>
          <t>SN-DG048-8625</t>
        </is>
      </c>
      <c r="K52" s="11" t="n">
        <v>44788</v>
      </c>
      <c r="L52" s="12" t="n">
        <v>549900</v>
      </c>
      <c r="M52" s="10" t="inlineStr">
        <is>
          <t>ABOGADO PRINCIPAL</t>
        </is>
      </c>
    </row>
    <row r="53">
      <c r="A53" s="13" t="n">
        <v>49</v>
      </c>
      <c r="B53" s="14" t="inlineStr">
        <is>
          <t>DIRECCION GENERAL</t>
        </is>
      </c>
      <c r="C53" s="13" t="inlineStr">
        <is>
          <t>DG-049</t>
        </is>
      </c>
      <c r="D53" s="14" t="inlineStr">
        <is>
          <t>1 IMPRESORA</t>
        </is>
      </c>
      <c r="E53" s="14" t="inlineStr">
        <is>
          <t>INFORMATICA</t>
        </is>
      </c>
      <c r="F53" s="13" t="inlineStr">
        <is>
          <t>SERVICIO</t>
        </is>
      </c>
      <c r="G53" s="14" t="inlineStr">
        <is>
          <t>JURIDICO</t>
        </is>
      </c>
      <c r="H53" s="14" t="inlineStr">
        <is>
          <t>Epson</t>
        </is>
      </c>
      <c r="I53" s="14" t="inlineStr">
        <is>
          <t>EcoTank L3250</t>
        </is>
      </c>
      <c r="J53" s="13" t="inlineStr">
        <is>
          <t>SN-DG049-8762</t>
        </is>
      </c>
      <c r="K53" s="15" t="n">
        <v>44778</v>
      </c>
      <c r="L53" s="16" t="n">
        <v>179900</v>
      </c>
      <c r="M53" s="14" t="inlineStr">
        <is>
          <t>ABOGADO PRINCIPAL</t>
        </is>
      </c>
    </row>
    <row r="54">
      <c r="A54" s="9" t="n">
        <v>50</v>
      </c>
      <c r="B54" s="10" t="inlineStr">
        <is>
          <t>DIRECCION GENERAL</t>
        </is>
      </c>
      <c r="C54" s="9" t="inlineStr">
        <is>
          <t>DG-050</t>
        </is>
      </c>
      <c r="D54" s="10" t="inlineStr">
        <is>
          <t>1 REFRIGERADOR</t>
        </is>
      </c>
      <c r="E54" s="10" t="inlineStr">
        <is>
          <t>EQUIPOS DE CLIMATIZACION Y REFRIGERACION</t>
        </is>
      </c>
      <c r="F54" s="9" t="inlineStr">
        <is>
          <t>SERVICIO</t>
        </is>
      </c>
      <c r="G54" s="10" t="inlineStr">
        <is>
          <t>PANTRY</t>
        </is>
      </c>
      <c r="H54" s="10" t="inlineStr">
        <is>
          <t>Mademsa</t>
        </is>
      </c>
      <c r="I54" s="10" t="inlineStr">
        <is>
          <t>Nordik 415 Plus</t>
        </is>
      </c>
      <c r="J54" s="9" t="inlineStr">
        <is>
          <t>SN-DG050-8899</t>
        </is>
      </c>
      <c r="K54" s="11" t="n">
        <v>45033</v>
      </c>
      <c r="L54" s="12" t="n">
        <v>399900</v>
      </c>
      <c r="M54" s="10" t="inlineStr">
        <is>
          <t>PANTRISTA</t>
        </is>
      </c>
    </row>
    <row r="55">
      <c r="A55" s="13" t="n">
        <v>51</v>
      </c>
      <c r="B55" s="14" t="inlineStr">
        <is>
          <t>DIRECCION GENERAL</t>
        </is>
      </c>
      <c r="C55" s="13" t="inlineStr">
        <is>
          <t>DG-051</t>
        </is>
      </c>
      <c r="D55" s="14" t="inlineStr">
        <is>
          <t>1 FREEZER</t>
        </is>
      </c>
      <c r="E55" s="14" t="inlineStr">
        <is>
          <t>EQUIPOS DE CLIMATIZACION Y REFRIGERACION</t>
        </is>
      </c>
      <c r="F55" s="13" t="inlineStr">
        <is>
          <t>SERVICIO</t>
        </is>
      </c>
      <c r="G55" s="14" t="inlineStr">
        <is>
          <t>PANTRY</t>
        </is>
      </c>
      <c r="H55" s="14" t="inlineStr">
        <is>
          <t>Fensa</t>
        </is>
      </c>
      <c r="I55" s="14" t="inlineStr">
        <is>
          <t>FH 300 Horizontal</t>
        </is>
      </c>
      <c r="J55" s="13" t="inlineStr">
        <is>
          <t>SN-DG051-9036</t>
        </is>
      </c>
      <c r="K55" s="15" t="n">
        <v>45038</v>
      </c>
      <c r="L55" s="16" t="n">
        <v>329900</v>
      </c>
      <c r="M55" s="14" t="inlineStr">
        <is>
          <t>PANTRISTA</t>
        </is>
      </c>
    </row>
    <row r="56">
      <c r="A56" s="9" t="n">
        <v>52</v>
      </c>
      <c r="B56" s="10" t="inlineStr">
        <is>
          <t>DIRECCION GENERAL</t>
        </is>
      </c>
      <c r="C56" s="9" t="inlineStr">
        <is>
          <t>DG-052</t>
        </is>
      </c>
      <c r="D56" s="10" t="inlineStr">
        <is>
          <t>1 CAFETERA</t>
        </is>
      </c>
      <c r="E56" s="10" t="inlineStr">
        <is>
          <t>ELECTRODOMESTICOS</t>
        </is>
      </c>
      <c r="F56" s="9" t="inlineStr">
        <is>
          <t>SERVICIO</t>
        </is>
      </c>
      <c r="G56" s="10" t="inlineStr">
        <is>
          <t>PANTRY</t>
        </is>
      </c>
      <c r="H56" s="10" t="inlineStr">
        <is>
          <t>Oster</t>
        </is>
      </c>
      <c r="I56" s="10" t="inlineStr">
        <is>
          <t>BVSTDC4401</t>
        </is>
      </c>
      <c r="J56" s="9" t="inlineStr">
        <is>
          <t>SN-DG052-9173</t>
        </is>
      </c>
      <c r="K56" s="11" t="n">
        <v>45028</v>
      </c>
      <c r="L56" s="12" t="n">
        <v>79990</v>
      </c>
      <c r="M56" s="10" t="inlineStr">
        <is>
          <t>PANTRISTA</t>
        </is>
      </c>
    </row>
    <row r="57">
      <c r="A57" s="13" t="n">
        <v>53</v>
      </c>
      <c r="B57" s="14" t="inlineStr">
        <is>
          <t>DIRECCION GENERAL</t>
        </is>
      </c>
      <c r="C57" s="13" t="inlineStr">
        <is>
          <t>DG-053</t>
        </is>
      </c>
      <c r="D57" s="14" t="inlineStr">
        <is>
          <t>1 HORNO MICROWAVE</t>
        </is>
      </c>
      <c r="E57" s="14" t="inlineStr">
        <is>
          <t>ELECTRODOMESTICOS</t>
        </is>
      </c>
      <c r="F57" s="13" t="inlineStr">
        <is>
          <t>SERVICIO</t>
        </is>
      </c>
      <c r="G57" s="14" t="inlineStr">
        <is>
          <t>PANTRY</t>
        </is>
      </c>
      <c r="H57" s="14" t="inlineStr">
        <is>
          <t>Somela</t>
        </is>
      </c>
      <c r="I57" s="14" t="inlineStr">
        <is>
          <t>MW-2033 20L</t>
        </is>
      </c>
      <c r="J57" s="13" t="inlineStr">
        <is>
          <t>SN-DG053-9310</t>
        </is>
      </c>
      <c r="K57" s="15" t="n">
        <v>45033</v>
      </c>
      <c r="L57" s="16" t="n">
        <v>94990</v>
      </c>
      <c r="M57" s="14" t="inlineStr">
        <is>
          <t>PANTRISTA</t>
        </is>
      </c>
    </row>
    <row r="58">
      <c r="A58" s="9" t="n">
        <v>54</v>
      </c>
      <c r="B58" s="10" t="inlineStr">
        <is>
          <t>DIRECCION GENERAL</t>
        </is>
      </c>
      <c r="C58" s="9" t="inlineStr">
        <is>
          <t>DG-054</t>
        </is>
      </c>
      <c r="D58" s="10" t="inlineStr">
        <is>
          <t>1 BATIDORA</t>
        </is>
      </c>
      <c r="E58" s="10" t="inlineStr">
        <is>
          <t>ELECTRODOMESTICOS</t>
        </is>
      </c>
      <c r="F58" s="9" t="inlineStr">
        <is>
          <t>SERVICIO</t>
        </is>
      </c>
      <c r="G58" s="10" t="inlineStr">
        <is>
          <t>PANTRY</t>
        </is>
      </c>
      <c r="H58" s="10" t="inlineStr">
        <is>
          <t>Somela</t>
        </is>
      </c>
      <c r="I58" s="10" t="inlineStr">
        <is>
          <t>SM-1200 Pedestal</t>
        </is>
      </c>
      <c r="J58" s="9" t="inlineStr">
        <is>
          <t>SN-DG054-9447</t>
        </is>
      </c>
      <c r="K58" s="11" t="n">
        <v>45038</v>
      </c>
      <c r="L58" s="12" t="n">
        <v>54990</v>
      </c>
      <c r="M58" s="10" t="inlineStr">
        <is>
          <t>PANTRISTA</t>
        </is>
      </c>
    </row>
    <row r="59">
      <c r="A59" s="13" t="n">
        <v>55</v>
      </c>
      <c r="B59" s="14" t="inlineStr">
        <is>
          <t>DIRECCION GENERAL</t>
        </is>
      </c>
      <c r="C59" s="13" t="inlineStr">
        <is>
          <t>DG-055</t>
        </is>
      </c>
      <c r="D59" s="14" t="inlineStr">
        <is>
          <t>1 MESA 4 PERSONAS</t>
        </is>
      </c>
      <c r="E59" s="14" t="inlineStr">
        <is>
          <t>MOBILIARIO</t>
        </is>
      </c>
      <c r="F59" s="13" t="inlineStr">
        <is>
          <t>SERVICIO</t>
        </is>
      </c>
      <c r="G59" s="14" t="inlineStr">
        <is>
          <t>PANTRY</t>
        </is>
      </c>
      <c r="H59" s="14" t="inlineStr">
        <is>
          <t>Casa Ideal</t>
        </is>
      </c>
      <c r="I59" s="14" t="inlineStr">
        <is>
          <t>Nogal Comedor 4P</t>
        </is>
      </c>
      <c r="J59" s="13" t="inlineStr">
        <is>
          <t>SN-DG055-9584</t>
        </is>
      </c>
      <c r="K59" s="15" t="n">
        <v>45028</v>
      </c>
      <c r="L59" s="16" t="n">
        <v>149900</v>
      </c>
      <c r="M59" s="14" t="inlineStr">
        <is>
          <t>PANTRISTA</t>
        </is>
      </c>
    </row>
    <row r="60">
      <c r="A60" s="9" t="n">
        <v>56</v>
      </c>
      <c r="B60" s="10" t="inlineStr">
        <is>
          <t>DIRECCION GENERAL</t>
        </is>
      </c>
      <c r="C60" s="9" t="inlineStr">
        <is>
          <t>DG-056</t>
        </is>
      </c>
      <c r="D60" s="10" t="inlineStr">
        <is>
          <t>SILLA</t>
        </is>
      </c>
      <c r="E60" s="10" t="inlineStr">
        <is>
          <t>MOBILIARIO</t>
        </is>
      </c>
      <c r="F60" s="9" t="inlineStr">
        <is>
          <t>SERVICIO</t>
        </is>
      </c>
      <c r="G60" s="10" t="inlineStr">
        <is>
          <t>PANTRY</t>
        </is>
      </c>
      <c r="H60" s="10" t="inlineStr">
        <is>
          <t>Mica</t>
        </is>
      </c>
      <c r="I60" s="10" t="inlineStr">
        <is>
          <t>Vienna Apilable</t>
        </is>
      </c>
      <c r="J60" s="9" t="inlineStr">
        <is>
          <t>SN-DG056-9721</t>
        </is>
      </c>
      <c r="K60" s="11" t="n">
        <v>45033</v>
      </c>
      <c r="L60" s="12" t="n">
        <v>44990</v>
      </c>
      <c r="M60" s="10" t="inlineStr">
        <is>
          <t>PANTRISTA</t>
        </is>
      </c>
    </row>
    <row r="61">
      <c r="A61" s="13" t="n">
        <v>57</v>
      </c>
      <c r="B61" s="14" t="inlineStr">
        <is>
          <t>DIRECCION GENERAL</t>
        </is>
      </c>
      <c r="C61" s="13" t="inlineStr">
        <is>
          <t>DG-057</t>
        </is>
      </c>
      <c r="D61" s="14" t="inlineStr">
        <is>
          <t>SILLA</t>
        </is>
      </c>
      <c r="E61" s="14" t="inlineStr">
        <is>
          <t>MOBILIARIO</t>
        </is>
      </c>
      <c r="F61" s="13" t="inlineStr">
        <is>
          <t>SERVICIO</t>
        </is>
      </c>
      <c r="G61" s="14" t="inlineStr">
        <is>
          <t>PANTRY</t>
        </is>
      </c>
      <c r="H61" s="14" t="inlineStr">
        <is>
          <t>Mica</t>
        </is>
      </c>
      <c r="I61" s="14" t="inlineStr">
        <is>
          <t>Vienna Apilable</t>
        </is>
      </c>
      <c r="J61" s="13" t="inlineStr">
        <is>
          <t>SN-DG057-9858</t>
        </is>
      </c>
      <c r="K61" s="15" t="n">
        <v>45038</v>
      </c>
      <c r="L61" s="16" t="n">
        <v>44990</v>
      </c>
      <c r="M61" s="14" t="inlineStr">
        <is>
          <t>PANTRISTA</t>
        </is>
      </c>
    </row>
    <row r="62">
      <c r="A62" s="9" t="n">
        <v>58</v>
      </c>
      <c r="B62" s="10" t="inlineStr">
        <is>
          <t>DIRECCION GENERAL</t>
        </is>
      </c>
      <c r="C62" s="9" t="inlineStr">
        <is>
          <t>DG-058</t>
        </is>
      </c>
      <c r="D62" s="10" t="inlineStr">
        <is>
          <t>SILLA</t>
        </is>
      </c>
      <c r="E62" s="10" t="inlineStr">
        <is>
          <t>MOBILIARIO</t>
        </is>
      </c>
      <c r="F62" s="9" t="inlineStr">
        <is>
          <t>SERVICIO</t>
        </is>
      </c>
      <c r="G62" s="10" t="inlineStr">
        <is>
          <t>PANTRY</t>
        </is>
      </c>
      <c r="H62" s="10" t="inlineStr">
        <is>
          <t>Mica</t>
        </is>
      </c>
      <c r="I62" s="10" t="inlineStr">
        <is>
          <t>Vienna Apilable</t>
        </is>
      </c>
      <c r="J62" s="9" t="inlineStr">
        <is>
          <t>SN-DG058-9995</t>
        </is>
      </c>
      <c r="K62" s="11" t="n">
        <v>45028</v>
      </c>
      <c r="L62" s="12" t="n">
        <v>44990</v>
      </c>
      <c r="M62" s="10" t="inlineStr">
        <is>
          <t>PANTRISTA</t>
        </is>
      </c>
    </row>
    <row r="63">
      <c r="A63" s="13" t="n">
        <v>59</v>
      </c>
      <c r="B63" s="14" t="inlineStr">
        <is>
          <t>DIRECCION GENERAL</t>
        </is>
      </c>
      <c r="C63" s="13" t="inlineStr">
        <is>
          <t>DG-059</t>
        </is>
      </c>
      <c r="D63" s="14" t="inlineStr">
        <is>
          <t>SILLA</t>
        </is>
      </c>
      <c r="E63" s="14" t="inlineStr">
        <is>
          <t>MOBILIARIO</t>
        </is>
      </c>
      <c r="F63" s="13" t="inlineStr">
        <is>
          <t>SERVICIO</t>
        </is>
      </c>
      <c r="G63" s="14" t="inlineStr">
        <is>
          <t>PANTRY</t>
        </is>
      </c>
      <c r="H63" s="14" t="inlineStr">
        <is>
          <t>Mica</t>
        </is>
      </c>
      <c r="I63" s="14" t="inlineStr">
        <is>
          <t>Vienna Apilable</t>
        </is>
      </c>
      <c r="J63" s="13" t="inlineStr">
        <is>
          <t>SN-DG059-1132</t>
        </is>
      </c>
      <c r="K63" s="15" t="n">
        <v>45033</v>
      </c>
      <c r="L63" s="16" t="n">
        <v>44990</v>
      </c>
      <c r="M63" s="14" t="inlineStr">
        <is>
          <t>PANTRISTA</t>
        </is>
      </c>
    </row>
    <row r="64">
      <c r="A64" s="9" t="n">
        <v>60</v>
      </c>
      <c r="B64" s="10" t="inlineStr">
        <is>
          <t>DIRECCION GENERAL</t>
        </is>
      </c>
      <c r="C64" s="9" t="inlineStr">
        <is>
          <t>DG-060</t>
        </is>
      </c>
      <c r="D64" s="10" t="inlineStr">
        <is>
          <t>1 VENTILADOR</t>
        </is>
      </c>
      <c r="E64" s="10" t="inlineStr">
        <is>
          <t>EQUIPOS DE CLIMATIZACION Y REFRIGERACION</t>
        </is>
      </c>
      <c r="F64" s="17" t="inlineStr">
        <is>
          <t>MTTO</t>
        </is>
      </c>
      <c r="G64" s="10" t="inlineStr">
        <is>
          <t>PANTRY</t>
        </is>
      </c>
      <c r="H64" s="10" t="inlineStr">
        <is>
          <t>Recco</t>
        </is>
      </c>
      <c r="I64" s="10" t="inlineStr">
        <is>
          <t>RVP-45PM Pedestal</t>
        </is>
      </c>
      <c r="J64" s="9" t="inlineStr">
        <is>
          <t>SN-DG060-1269</t>
        </is>
      </c>
      <c r="K64" s="11" t="n">
        <v>45038</v>
      </c>
      <c r="L64" s="12" t="n">
        <v>39990</v>
      </c>
      <c r="M64" s="10" t="inlineStr">
        <is>
          <t>PANTRISTA</t>
        </is>
      </c>
    </row>
    <row r="65">
      <c r="A65" s="5" t="n">
        <v>61</v>
      </c>
      <c r="B65" s="6" t="inlineStr">
        <is>
          <t>DIRECCION TECNICO-PRODUCTIVA</t>
        </is>
      </c>
      <c r="C65" s="5" t="inlineStr">
        <is>
          <t>DTP-01</t>
        </is>
      </c>
      <c r="D65" s="6" t="inlineStr">
        <is>
          <t>1 MESA BURO/ 4 GAVETAS</t>
        </is>
      </c>
      <c r="E65" s="6" t="inlineStr">
        <is>
          <t>MOBILIARIO</t>
        </is>
      </c>
      <c r="F65" s="5" t="inlineStr">
        <is>
          <t>SERVICIO</t>
        </is>
      </c>
      <c r="G65" s="6" t="inlineStr">
        <is>
          <t>OFICINA DIRECTOR TECN.// PRODUCT.</t>
        </is>
      </c>
      <c r="H65" s="6" t="inlineStr">
        <is>
          <t>Rosen</t>
        </is>
      </c>
      <c r="I65" s="6" t="inlineStr">
        <is>
          <t>Buro Ejecutivo BR-4G120</t>
        </is>
      </c>
      <c r="J65" s="5" t="inlineStr">
        <is>
          <t>SN-DTP01-2186</t>
        </is>
      </c>
      <c r="K65" s="7" t="n">
        <v>44294</v>
      </c>
      <c r="L65" s="8" t="n">
        <v>189900</v>
      </c>
      <c r="M65" s="6" t="inlineStr">
        <is>
          <t>DIRECTOR TECN. // PRODUCT.</t>
        </is>
      </c>
    </row>
    <row r="66">
      <c r="A66" s="9" t="n">
        <v>62</v>
      </c>
      <c r="B66" s="10" t="inlineStr">
        <is>
          <t>DIRECCION TECNICO-PRODUCTIVA</t>
        </is>
      </c>
      <c r="C66" s="9" t="inlineStr">
        <is>
          <t>DTP-02</t>
        </is>
      </c>
      <c r="D66" s="10" t="inlineStr">
        <is>
          <t>1 SILLA GIRATORIA</t>
        </is>
      </c>
      <c r="E66" s="10" t="inlineStr">
        <is>
          <t>MOBILIARIO</t>
        </is>
      </c>
      <c r="F66" s="9" t="inlineStr">
        <is>
          <t>SERVICIO</t>
        </is>
      </c>
      <c r="G66" s="10" t="inlineStr">
        <is>
          <t>OFICINA DIRECTOR TECN.// PRODUCT.</t>
        </is>
      </c>
      <c r="H66" s="10" t="inlineStr">
        <is>
          <t>Ergosillas</t>
        </is>
      </c>
      <c r="I66" s="10" t="inlineStr">
        <is>
          <t>Pro Ergo 120</t>
        </is>
      </c>
      <c r="J66" s="9" t="inlineStr">
        <is>
          <t>SN-DTP02-2323</t>
        </is>
      </c>
      <c r="K66" s="11" t="n">
        <v>44299</v>
      </c>
      <c r="L66" s="12" t="n">
        <v>109900</v>
      </c>
      <c r="M66" s="10" t="inlineStr">
        <is>
          <t>DIRECTOR TECN. // PRODUCT.</t>
        </is>
      </c>
    </row>
    <row r="67">
      <c r="A67" s="13" t="n">
        <v>63</v>
      </c>
      <c r="B67" s="14" t="inlineStr">
        <is>
          <t>DIRECCION TECNICO-PRODUCTIVA</t>
        </is>
      </c>
      <c r="C67" s="13" t="inlineStr">
        <is>
          <t>DTP-03</t>
        </is>
      </c>
      <c r="D67" s="14" t="inlineStr">
        <is>
          <t>1 PC ESCRITORIO</t>
        </is>
      </c>
      <c r="E67" s="14" t="inlineStr">
        <is>
          <t>INFORMATICA</t>
        </is>
      </c>
      <c r="F67" s="13" t="inlineStr">
        <is>
          <t>SERVICIO</t>
        </is>
      </c>
      <c r="G67" s="14" t="inlineStr">
        <is>
          <t>OFICINA DIRECTOR TECN.// PRODUCT.</t>
        </is>
      </c>
      <c r="H67" s="14" t="inlineStr">
        <is>
          <t>HP</t>
        </is>
      </c>
      <c r="I67" s="14" t="inlineStr">
        <is>
          <t>ProDesk 400 G9 SFF</t>
        </is>
      </c>
      <c r="J67" s="13" t="inlineStr">
        <is>
          <t>SN-DTP03-2460</t>
        </is>
      </c>
      <c r="K67" s="15" t="n">
        <v>44304</v>
      </c>
      <c r="L67" s="16" t="n">
        <v>549900</v>
      </c>
      <c r="M67" s="14" t="inlineStr">
        <is>
          <t>DIRECTOR TECN. // PRODUCT.</t>
        </is>
      </c>
    </row>
    <row r="68">
      <c r="A68" s="9" t="n">
        <v>64</v>
      </c>
      <c r="B68" s="10" t="inlineStr">
        <is>
          <t>DIRECCION TECNICO-PRODUCTIVA</t>
        </is>
      </c>
      <c r="C68" s="9" t="inlineStr">
        <is>
          <t>DTP-04</t>
        </is>
      </c>
      <c r="D68" s="10" t="inlineStr">
        <is>
          <t>1 IMPRESORA</t>
        </is>
      </c>
      <c r="E68" s="10" t="inlineStr">
        <is>
          <t>INFORMATICA</t>
        </is>
      </c>
      <c r="F68" s="9" t="inlineStr">
        <is>
          <t>SERVICIO</t>
        </is>
      </c>
      <c r="G68" s="10" t="inlineStr">
        <is>
          <t>OFICINA DIRECTOR TECN.// PRODUCT.</t>
        </is>
      </c>
      <c r="H68" s="10" t="inlineStr">
        <is>
          <t>Epson</t>
        </is>
      </c>
      <c r="I68" s="10" t="inlineStr">
        <is>
          <t>EcoTank L3250</t>
        </is>
      </c>
      <c r="J68" s="9" t="inlineStr">
        <is>
          <t>SN-DTP04-2597</t>
        </is>
      </c>
      <c r="K68" s="11" t="n">
        <v>44294</v>
      </c>
      <c r="L68" s="12" t="n">
        <v>179900</v>
      </c>
      <c r="M68" s="10" t="inlineStr">
        <is>
          <t>DIRECTOR TECN. // PRODUCT.</t>
        </is>
      </c>
    </row>
    <row r="69">
      <c r="A69" s="13" t="n">
        <v>65</v>
      </c>
      <c r="B69" s="14" t="inlineStr">
        <is>
          <t>DIRECCION TECNICO-PRODUCTIVA</t>
        </is>
      </c>
      <c r="C69" s="13" t="inlineStr">
        <is>
          <t>DTP-05</t>
        </is>
      </c>
      <c r="D69" s="14" t="inlineStr">
        <is>
          <t>1 EQUIPO CLIMATIZACION 12000 BTU</t>
        </is>
      </c>
      <c r="E69" s="14" t="inlineStr">
        <is>
          <t>EQUIPOS DE CLIMATIZACION Y REFRIGERACION</t>
        </is>
      </c>
      <c r="F69" s="13" t="inlineStr">
        <is>
          <t>SERVICIO</t>
        </is>
      </c>
      <c r="G69" s="14" t="inlineStr">
        <is>
          <t>OFICINA DIRECTOR TECN.// PRODUCT.</t>
        </is>
      </c>
      <c r="H69" s="14" t="inlineStr">
        <is>
          <t>Midea</t>
        </is>
      </c>
      <c r="I69" s="14" t="inlineStr">
        <is>
          <t>Xtreme Save 12.000 BTU</t>
        </is>
      </c>
      <c r="J69" s="13" t="inlineStr">
        <is>
          <t>SN-DTP05-2734</t>
        </is>
      </c>
      <c r="K69" s="15" t="n">
        <v>44299</v>
      </c>
      <c r="L69" s="16" t="n">
        <v>389900</v>
      </c>
      <c r="M69" s="14" t="inlineStr">
        <is>
          <t>DIRECTOR TECN. // PRODUCT.</t>
        </is>
      </c>
    </row>
    <row r="70">
      <c r="A70" s="9" t="n">
        <v>66</v>
      </c>
      <c r="B70" s="10" t="inlineStr">
        <is>
          <t>DIRECCION TECNICO-PRODUCTIVA</t>
        </is>
      </c>
      <c r="C70" s="9" t="inlineStr">
        <is>
          <t>DTP-06</t>
        </is>
      </c>
      <c r="D70" s="10" t="inlineStr">
        <is>
          <t>1 SOFA 3 PERSONAS</t>
        </is>
      </c>
      <c r="E70" s="10" t="inlineStr">
        <is>
          <t>MOBILIARIO</t>
        </is>
      </c>
      <c r="F70" s="9" t="inlineStr">
        <is>
          <t>SERVICIO</t>
        </is>
      </c>
      <c r="G70" s="10" t="inlineStr">
        <is>
          <t>OFICINA DIRECTOR TECN.// PRODUCT.</t>
        </is>
      </c>
      <c r="H70" s="10" t="inlineStr">
        <is>
          <t>Rosen</t>
        </is>
      </c>
      <c r="I70" s="10" t="inlineStr">
        <is>
          <t>Milano 3 Cuerpos</t>
        </is>
      </c>
      <c r="J70" s="9" t="inlineStr">
        <is>
          <t>SN-DTP06-2871</t>
        </is>
      </c>
      <c r="K70" s="11" t="n">
        <v>44304</v>
      </c>
      <c r="L70" s="12" t="n">
        <v>429900</v>
      </c>
      <c r="M70" s="10" t="inlineStr">
        <is>
          <t>DIRECTOR TECN. // PRODUCT.</t>
        </is>
      </c>
    </row>
    <row r="71">
      <c r="A71" s="13" t="n">
        <v>67</v>
      </c>
      <c r="B71" s="14" t="inlineStr">
        <is>
          <t>DIRECCION TECNICO-PRODUCTIVA</t>
        </is>
      </c>
      <c r="C71" s="13" t="inlineStr">
        <is>
          <t>DTP-07</t>
        </is>
      </c>
      <c r="D71" s="14" t="inlineStr">
        <is>
          <t>BUTACA CON BRAZOS</t>
        </is>
      </c>
      <c r="E71" s="14" t="inlineStr">
        <is>
          <t>MOBILIARIO</t>
        </is>
      </c>
      <c r="F71" s="13" t="inlineStr">
        <is>
          <t>SERVICIO</t>
        </is>
      </c>
      <c r="G71" s="14" t="inlineStr">
        <is>
          <t>OFICINA DIRECTOR TECN.// PRODUCT.</t>
        </is>
      </c>
      <c r="H71" s="14" t="inlineStr">
        <is>
          <t>Mica</t>
        </is>
      </c>
      <c r="I71" s="14" t="inlineStr">
        <is>
          <t>Oslo con Brazos</t>
        </is>
      </c>
      <c r="J71" s="13" t="inlineStr">
        <is>
          <t>SN-DTP07-3008</t>
        </is>
      </c>
      <c r="K71" s="15" t="n">
        <v>44294</v>
      </c>
      <c r="L71" s="16" t="n">
        <v>94990</v>
      </c>
      <c r="M71" s="14" t="inlineStr">
        <is>
          <t>DIRECTOR TECN. // PRODUCT.</t>
        </is>
      </c>
    </row>
    <row r="72">
      <c r="A72" s="9" t="n">
        <v>68</v>
      </c>
      <c r="B72" s="10" t="inlineStr">
        <is>
          <t>DIRECCION TECNICO-PRODUCTIVA</t>
        </is>
      </c>
      <c r="C72" s="9" t="inlineStr">
        <is>
          <t>DTP-08</t>
        </is>
      </c>
      <c r="D72" s="10" t="inlineStr">
        <is>
          <t>BUTACA CON BRAZOS</t>
        </is>
      </c>
      <c r="E72" s="10" t="inlineStr">
        <is>
          <t>MOBILIARIO</t>
        </is>
      </c>
      <c r="F72" s="9" t="inlineStr">
        <is>
          <t>SERVICIO</t>
        </is>
      </c>
      <c r="G72" s="10" t="inlineStr">
        <is>
          <t>OFICINA DIRECTOR TECN.// PRODUCT.</t>
        </is>
      </c>
      <c r="H72" s="10" t="inlineStr">
        <is>
          <t>Mica</t>
        </is>
      </c>
      <c r="I72" s="10" t="inlineStr">
        <is>
          <t>Oslo con Brazos</t>
        </is>
      </c>
      <c r="J72" s="9" t="inlineStr">
        <is>
          <t>SN-DTP08-3145</t>
        </is>
      </c>
      <c r="K72" s="11" t="n">
        <v>44299</v>
      </c>
      <c r="L72" s="12" t="n">
        <v>94990</v>
      </c>
      <c r="M72" s="10" t="inlineStr">
        <is>
          <t>DIRECTOR TECN. // PRODUCT.</t>
        </is>
      </c>
    </row>
    <row r="73">
      <c r="A73" s="13" t="n">
        <v>69</v>
      </c>
      <c r="B73" s="14" t="inlineStr">
        <is>
          <t>DIRECCION TECNICO-PRODUCTIVA</t>
        </is>
      </c>
      <c r="C73" s="13" t="inlineStr">
        <is>
          <t>DTP-09</t>
        </is>
      </c>
      <c r="D73" s="14" t="inlineStr">
        <is>
          <t>BUTACA CON BRAZOS</t>
        </is>
      </c>
      <c r="E73" s="14" t="inlineStr">
        <is>
          <t>MOBILIARIO</t>
        </is>
      </c>
      <c r="F73" s="13" t="inlineStr">
        <is>
          <t>SERVICIO</t>
        </is>
      </c>
      <c r="G73" s="14" t="inlineStr">
        <is>
          <t>OFICINA DIRECTOR TECN.// PRODUCT.</t>
        </is>
      </c>
      <c r="H73" s="14" t="inlineStr">
        <is>
          <t>Mica</t>
        </is>
      </c>
      <c r="I73" s="14" t="inlineStr">
        <is>
          <t>Oslo con Brazos</t>
        </is>
      </c>
      <c r="J73" s="13" t="inlineStr">
        <is>
          <t>SN-DTP09-3282</t>
        </is>
      </c>
      <c r="K73" s="15" t="n">
        <v>44304</v>
      </c>
      <c r="L73" s="16" t="n">
        <v>94990</v>
      </c>
      <c r="M73" s="14" t="inlineStr">
        <is>
          <t>DIRECTOR TECN. // PRODUCT.</t>
        </is>
      </c>
    </row>
    <row r="74">
      <c r="A74" s="9" t="n">
        <v>70</v>
      </c>
      <c r="B74" s="10" t="inlineStr">
        <is>
          <t>DIRECCION TECNICO-PRODUCTIVA</t>
        </is>
      </c>
      <c r="C74" s="9" t="inlineStr">
        <is>
          <t>DTP-10</t>
        </is>
      </c>
      <c r="D74" s="10" t="inlineStr">
        <is>
          <t>1 TV DIGITAL LG 45"</t>
        </is>
      </c>
      <c r="E74" s="10" t="inlineStr">
        <is>
          <t>MOBILIARIO</t>
        </is>
      </c>
      <c r="F74" s="9" t="inlineStr">
        <is>
          <t>SERVICIO</t>
        </is>
      </c>
      <c r="G74" s="10" t="inlineStr">
        <is>
          <t>OFICINA DIRECTOR TECN.// PRODUCT.</t>
        </is>
      </c>
      <c r="H74" s="10" t="inlineStr">
        <is>
          <t>LG</t>
        </is>
      </c>
      <c r="I74" s="10" t="inlineStr">
        <is>
          <t>45UR7300 UHD</t>
        </is>
      </c>
      <c r="J74" s="9" t="inlineStr">
        <is>
          <t>SN-DTP10-3419</t>
        </is>
      </c>
      <c r="K74" s="11" t="n">
        <v>44294</v>
      </c>
      <c r="L74" s="12" t="n">
        <v>329900</v>
      </c>
      <c r="M74" s="10" t="inlineStr">
        <is>
          <t>DIRECTOR TECN. // PRODUCT.</t>
        </is>
      </c>
    </row>
    <row r="75">
      <c r="A75" s="13" t="n">
        <v>71</v>
      </c>
      <c r="B75" s="14" t="inlineStr">
        <is>
          <t>DIRECCION TECNICO-PRODUCTIVA</t>
        </is>
      </c>
      <c r="C75" s="13" t="inlineStr">
        <is>
          <t>DTP-11</t>
        </is>
      </c>
      <c r="D75" s="14" t="inlineStr">
        <is>
          <t>1 LAPTOP</t>
        </is>
      </c>
      <c r="E75" s="14" t="inlineStr">
        <is>
          <t>INFORMATICA</t>
        </is>
      </c>
      <c r="F75" s="13" t="inlineStr">
        <is>
          <t>SERVICIO</t>
        </is>
      </c>
      <c r="G75" s="14" t="inlineStr">
        <is>
          <t>OFICINA DIRECTOR TECN.// PRODUCT.</t>
        </is>
      </c>
      <c r="H75" s="14" t="inlineStr">
        <is>
          <t>Lenovo</t>
        </is>
      </c>
      <c r="I75" s="14" t="inlineStr">
        <is>
          <t>ThinkPad E14 Gen 5</t>
        </is>
      </c>
      <c r="J75" s="13" t="inlineStr">
        <is>
          <t>SN-DTP11-3556</t>
        </is>
      </c>
      <c r="K75" s="15" t="n">
        <v>44299</v>
      </c>
      <c r="L75" s="16" t="n">
        <v>749900</v>
      </c>
      <c r="M75" s="14" t="inlineStr">
        <is>
          <t>DIRECTOR TECN. // PRODUCT.</t>
        </is>
      </c>
    </row>
    <row r="76">
      <c r="A76" s="9" t="n">
        <v>72</v>
      </c>
      <c r="B76" s="10" t="inlineStr">
        <is>
          <t>DIRECCION TECNICO-PRODUCTIVA</t>
        </is>
      </c>
      <c r="C76" s="9" t="inlineStr">
        <is>
          <t>DTP-12</t>
        </is>
      </c>
      <c r="D76" s="10" t="inlineStr">
        <is>
          <t>MESA BURO/ 4 GAVETAS</t>
        </is>
      </c>
      <c r="E76" s="10" t="inlineStr">
        <is>
          <t>MOBILIARIO</t>
        </is>
      </c>
      <c r="F76" s="9" t="inlineStr">
        <is>
          <t>SERVICIO</t>
        </is>
      </c>
      <c r="G76" s="10" t="inlineStr">
        <is>
          <t>DEPARTAMENTO TECNICO</t>
        </is>
      </c>
      <c r="H76" s="10" t="inlineStr">
        <is>
          <t>Rosen</t>
        </is>
      </c>
      <c r="I76" s="10" t="inlineStr">
        <is>
          <t>Buro Ejecutivo BR-4G120</t>
        </is>
      </c>
      <c r="J76" s="9" t="inlineStr">
        <is>
          <t>SN-DTP12-3693</t>
        </is>
      </c>
      <c r="K76" s="11" t="n">
        <v>44463</v>
      </c>
      <c r="L76" s="12" t="n">
        <v>189900</v>
      </c>
      <c r="M76" s="10" t="inlineStr">
        <is>
          <t>JEFE DPTO. TECNICO</t>
        </is>
      </c>
    </row>
    <row r="77">
      <c r="A77" s="13" t="n">
        <v>73</v>
      </c>
      <c r="B77" s="14" t="inlineStr">
        <is>
          <t>DIRECCION TECNICO-PRODUCTIVA</t>
        </is>
      </c>
      <c r="C77" s="13" t="inlineStr">
        <is>
          <t>DTP-13</t>
        </is>
      </c>
      <c r="D77" s="14" t="inlineStr">
        <is>
          <t>MESA BURO/ 4 GAVETAS</t>
        </is>
      </c>
      <c r="E77" s="14" t="inlineStr">
        <is>
          <t>MOBILIARIO</t>
        </is>
      </c>
      <c r="F77" s="13" t="inlineStr">
        <is>
          <t>SERVICIO</t>
        </is>
      </c>
      <c r="G77" s="14" t="inlineStr">
        <is>
          <t>DEPARTAMENTO TECNICO</t>
        </is>
      </c>
      <c r="H77" s="14" t="inlineStr">
        <is>
          <t>Rosen</t>
        </is>
      </c>
      <c r="I77" s="14" t="inlineStr">
        <is>
          <t>Buro Ejecutivo BR-4G120</t>
        </is>
      </c>
      <c r="J77" s="13" t="inlineStr">
        <is>
          <t>SN-DTP13-3830</t>
        </is>
      </c>
      <c r="K77" s="15" t="n">
        <v>44453</v>
      </c>
      <c r="L77" s="16" t="n">
        <v>189900</v>
      </c>
      <c r="M77" s="14" t="inlineStr">
        <is>
          <t>JEFE DPTO. TECNICO</t>
        </is>
      </c>
    </row>
    <row r="78">
      <c r="A78" s="9" t="n">
        <v>74</v>
      </c>
      <c r="B78" s="10" t="inlineStr">
        <is>
          <t>DIRECCION TECNICO-PRODUCTIVA</t>
        </is>
      </c>
      <c r="C78" s="9" t="inlineStr">
        <is>
          <t>DTP-14</t>
        </is>
      </c>
      <c r="D78" s="10" t="inlineStr">
        <is>
          <t>SILLA GIRATORIA</t>
        </is>
      </c>
      <c r="E78" s="10" t="inlineStr">
        <is>
          <t>MOBILIARIO</t>
        </is>
      </c>
      <c r="F78" s="9" t="inlineStr">
        <is>
          <t>SERVICIO</t>
        </is>
      </c>
      <c r="G78" s="10" t="inlineStr">
        <is>
          <t>DEPARTAMENTO TECNICO</t>
        </is>
      </c>
      <c r="H78" s="10" t="inlineStr">
        <is>
          <t>Ergosillas</t>
        </is>
      </c>
      <c r="I78" s="10" t="inlineStr">
        <is>
          <t>Pro Ergo 120</t>
        </is>
      </c>
      <c r="J78" s="9" t="inlineStr">
        <is>
          <t>SN-DTP14-3967</t>
        </is>
      </c>
      <c r="K78" s="11" t="n">
        <v>44458</v>
      </c>
      <c r="L78" s="12" t="n">
        <v>109900</v>
      </c>
      <c r="M78" s="10" t="inlineStr">
        <is>
          <t>JEFE DPTO. TECNICO</t>
        </is>
      </c>
    </row>
    <row r="79">
      <c r="A79" s="13" t="n">
        <v>75</v>
      </c>
      <c r="B79" s="14" t="inlineStr">
        <is>
          <t>DIRECCION TECNICO-PRODUCTIVA</t>
        </is>
      </c>
      <c r="C79" s="13" t="inlineStr">
        <is>
          <t>DTP-15</t>
        </is>
      </c>
      <c r="D79" s="14" t="inlineStr">
        <is>
          <t>SILLA GIRATORIA</t>
        </is>
      </c>
      <c r="E79" s="14" t="inlineStr">
        <is>
          <t>MOBILIARIO</t>
        </is>
      </c>
      <c r="F79" s="13" t="inlineStr">
        <is>
          <t>SERVICIO</t>
        </is>
      </c>
      <c r="G79" s="14" t="inlineStr">
        <is>
          <t>DEPARTAMENTO TECNICO</t>
        </is>
      </c>
      <c r="H79" s="14" t="inlineStr">
        <is>
          <t>Ergosillas</t>
        </is>
      </c>
      <c r="I79" s="14" t="inlineStr">
        <is>
          <t>Pro Ergo 120</t>
        </is>
      </c>
      <c r="J79" s="13" t="inlineStr">
        <is>
          <t>SN-DTP15-4104</t>
        </is>
      </c>
      <c r="K79" s="15" t="n">
        <v>44463</v>
      </c>
      <c r="L79" s="16" t="n">
        <v>109900</v>
      </c>
      <c r="M79" s="14" t="inlineStr">
        <is>
          <t>JEFE DPTO. TECNICO</t>
        </is>
      </c>
    </row>
    <row r="80">
      <c r="A80" s="9" t="n">
        <v>76</v>
      </c>
      <c r="B80" s="10" t="inlineStr">
        <is>
          <t>DIRECCION TECNICO-PRODUCTIVA</t>
        </is>
      </c>
      <c r="C80" s="9" t="inlineStr">
        <is>
          <t>DTP-16</t>
        </is>
      </c>
      <c r="D80" s="10" t="inlineStr">
        <is>
          <t>VENTILADOR</t>
        </is>
      </c>
      <c r="E80" s="10" t="inlineStr">
        <is>
          <t>EQUIPOS DE CLIMATIZACION Y REFRIGERACION</t>
        </is>
      </c>
      <c r="F80" s="9" t="inlineStr">
        <is>
          <t>SERVICIO</t>
        </is>
      </c>
      <c r="G80" s="10" t="inlineStr">
        <is>
          <t>DEPARTAMENTO TECNICO</t>
        </is>
      </c>
      <c r="H80" s="10" t="inlineStr">
        <is>
          <t>Recco</t>
        </is>
      </c>
      <c r="I80" s="10" t="inlineStr">
        <is>
          <t>RVP-45PM Pedestal</t>
        </is>
      </c>
      <c r="J80" s="9" t="inlineStr">
        <is>
          <t>SN-DTP16-4241</t>
        </is>
      </c>
      <c r="K80" s="11" t="n">
        <v>44453</v>
      </c>
      <c r="L80" s="12" t="n">
        <v>39990</v>
      </c>
      <c r="M80" s="10" t="inlineStr">
        <is>
          <t>JEFE DPTO. TECNICO</t>
        </is>
      </c>
    </row>
    <row r="81">
      <c r="A81" s="13" t="n">
        <v>77</v>
      </c>
      <c r="B81" s="14" t="inlineStr">
        <is>
          <t>DIRECCION TECNICO-PRODUCTIVA</t>
        </is>
      </c>
      <c r="C81" s="13" t="inlineStr">
        <is>
          <t>DTP-17</t>
        </is>
      </c>
      <c r="D81" s="14" t="inlineStr">
        <is>
          <t>VENTILADOR</t>
        </is>
      </c>
      <c r="E81" s="14" t="inlineStr">
        <is>
          <t>EQUIPOS DE CLIMATIZACION Y REFRIGERACION</t>
        </is>
      </c>
      <c r="F81" s="17" t="inlineStr">
        <is>
          <t>MTTO</t>
        </is>
      </c>
      <c r="G81" s="14" t="inlineStr">
        <is>
          <t>DEPARTAMENTO TECNICO</t>
        </is>
      </c>
      <c r="H81" s="14" t="inlineStr">
        <is>
          <t>Recco</t>
        </is>
      </c>
      <c r="I81" s="14" t="inlineStr">
        <is>
          <t>RVP-45PM Pedestal</t>
        </is>
      </c>
      <c r="J81" s="13" t="inlineStr">
        <is>
          <t>SN-DTP17-4378</t>
        </is>
      </c>
      <c r="K81" s="15" t="n">
        <v>44458</v>
      </c>
      <c r="L81" s="16" t="n">
        <v>39990</v>
      </c>
      <c r="M81" s="14" t="inlineStr">
        <is>
          <t>JEFE DPTO. TECNICO</t>
        </is>
      </c>
    </row>
    <row r="82">
      <c r="A82" s="9" t="n">
        <v>78</v>
      </c>
      <c r="B82" s="10" t="inlineStr">
        <is>
          <t>DIRECCION TECNICO-PRODUCTIVA</t>
        </is>
      </c>
      <c r="C82" s="9" t="inlineStr">
        <is>
          <t>DTP-18</t>
        </is>
      </c>
      <c r="D82" s="10" t="inlineStr">
        <is>
          <t>PC ESCRITORIO</t>
        </is>
      </c>
      <c r="E82" s="10" t="inlineStr">
        <is>
          <t>INFORMATICA</t>
        </is>
      </c>
      <c r="F82" s="9" t="inlineStr">
        <is>
          <t>SERVICIO</t>
        </is>
      </c>
      <c r="G82" s="10" t="inlineStr">
        <is>
          <t>DEPARTAMENTO TECNICO</t>
        </is>
      </c>
      <c r="H82" s="10" t="inlineStr">
        <is>
          <t>HP</t>
        </is>
      </c>
      <c r="I82" s="10" t="inlineStr">
        <is>
          <t>ProDesk 400 G9 SFF</t>
        </is>
      </c>
      <c r="J82" s="9" t="inlineStr">
        <is>
          <t>SN-DTP18-4515</t>
        </is>
      </c>
      <c r="K82" s="11" t="n">
        <v>44463</v>
      </c>
      <c r="L82" s="12" t="n">
        <v>549900</v>
      </c>
      <c r="M82" s="10" t="inlineStr">
        <is>
          <t>JEFE DPTO. TECNICO</t>
        </is>
      </c>
    </row>
    <row r="83">
      <c r="A83" s="13" t="n">
        <v>79</v>
      </c>
      <c r="B83" s="14" t="inlineStr">
        <is>
          <t>DIRECCION TECNICO-PRODUCTIVA</t>
        </is>
      </c>
      <c r="C83" s="13" t="inlineStr">
        <is>
          <t>DTP-19</t>
        </is>
      </c>
      <c r="D83" s="14" t="inlineStr">
        <is>
          <t>PC ESCRITORIO</t>
        </is>
      </c>
      <c r="E83" s="14" t="inlineStr">
        <is>
          <t>INFORMATICA</t>
        </is>
      </c>
      <c r="F83" s="13" t="inlineStr">
        <is>
          <t>SERVICIO</t>
        </is>
      </c>
      <c r="G83" s="14" t="inlineStr">
        <is>
          <t>DEPARTAMENTO TECNICO</t>
        </is>
      </c>
      <c r="H83" s="14" t="inlineStr">
        <is>
          <t>HP</t>
        </is>
      </c>
      <c r="I83" s="14" t="inlineStr">
        <is>
          <t>ProDesk 400 G9 SFF</t>
        </is>
      </c>
      <c r="J83" s="13" t="inlineStr">
        <is>
          <t>SN-DTP19-4652</t>
        </is>
      </c>
      <c r="K83" s="15" t="n">
        <v>44453</v>
      </c>
      <c r="L83" s="16" t="n">
        <v>549900</v>
      </c>
      <c r="M83" s="14" t="inlineStr">
        <is>
          <t>JEFE DPTO. TECNICO</t>
        </is>
      </c>
    </row>
    <row r="84">
      <c r="A84" s="9" t="n">
        <v>80</v>
      </c>
      <c r="B84" s="10" t="inlineStr">
        <is>
          <t>DIRECCION TECNICO-PRODUCTIVA</t>
        </is>
      </c>
      <c r="C84" s="9" t="inlineStr">
        <is>
          <t>DTP-20</t>
        </is>
      </c>
      <c r="D84" s="10" t="inlineStr">
        <is>
          <t>1 IMPRESORA</t>
        </is>
      </c>
      <c r="E84" s="10" t="inlineStr">
        <is>
          <t>INFORMATICA</t>
        </is>
      </c>
      <c r="F84" s="17" t="inlineStr">
        <is>
          <t>MTTO</t>
        </is>
      </c>
      <c r="G84" s="10" t="inlineStr">
        <is>
          <t>DEPARTAMENTO TECNICO</t>
        </is>
      </c>
      <c r="H84" s="10" t="inlineStr">
        <is>
          <t>Epson</t>
        </is>
      </c>
      <c r="I84" s="10" t="inlineStr">
        <is>
          <t>EcoTank L3250</t>
        </is>
      </c>
      <c r="J84" s="9" t="inlineStr">
        <is>
          <t>SN-DTP20-4789</t>
        </is>
      </c>
      <c r="K84" s="11" t="n">
        <v>44458</v>
      </c>
      <c r="L84" s="12" t="n">
        <v>179900</v>
      </c>
      <c r="M84" s="10" t="inlineStr">
        <is>
          <t>JEFE DPTO. TECNICO</t>
        </is>
      </c>
    </row>
    <row r="85">
      <c r="A85" s="13" t="n">
        <v>81</v>
      </c>
      <c r="B85" s="14" t="inlineStr">
        <is>
          <t>DIRECCION TECNICO-PRODUCTIVA</t>
        </is>
      </c>
      <c r="C85" s="13" t="inlineStr">
        <is>
          <t>DTP-21</t>
        </is>
      </c>
      <c r="D85" s="14" t="inlineStr">
        <is>
          <t>MESA BURO/ 4 GAVETAS</t>
        </is>
      </c>
      <c r="E85" s="14" t="inlineStr">
        <is>
          <t>MOBILIARIO</t>
        </is>
      </c>
      <c r="F85" s="13" t="inlineStr">
        <is>
          <t>SERVICIO</t>
        </is>
      </c>
      <c r="G85" s="14" t="inlineStr">
        <is>
          <t>DEPARTAMENTO PRODUCC.</t>
        </is>
      </c>
      <c r="H85" s="14" t="inlineStr">
        <is>
          <t>Rosen</t>
        </is>
      </c>
      <c r="I85" s="14" t="inlineStr">
        <is>
          <t>Buro Ejecutivo BR-4G120</t>
        </is>
      </c>
      <c r="J85" s="13" t="inlineStr">
        <is>
          <t>SN-DTP21-4926</t>
        </is>
      </c>
      <c r="K85" s="15" t="n">
        <v>44513</v>
      </c>
      <c r="L85" s="16" t="n">
        <v>189900</v>
      </c>
      <c r="M85" s="14" t="inlineStr">
        <is>
          <t>JEFE DPTO. PRODUCC.</t>
        </is>
      </c>
    </row>
    <row r="86">
      <c r="A86" s="9" t="n">
        <v>82</v>
      </c>
      <c r="B86" s="10" t="inlineStr">
        <is>
          <t>DIRECCION TECNICO-PRODUCTIVA</t>
        </is>
      </c>
      <c r="C86" s="9" t="inlineStr">
        <is>
          <t>DTP-22</t>
        </is>
      </c>
      <c r="D86" s="10" t="inlineStr">
        <is>
          <t>MESA BURO/ 4 GAVETAS</t>
        </is>
      </c>
      <c r="E86" s="10" t="inlineStr">
        <is>
          <t>MOBILIARIO</t>
        </is>
      </c>
      <c r="F86" s="9" t="inlineStr">
        <is>
          <t>SERVICIO</t>
        </is>
      </c>
      <c r="G86" s="10" t="inlineStr">
        <is>
          <t>DEPARTAMENTO PRODUCC.</t>
        </is>
      </c>
      <c r="H86" s="10" t="inlineStr">
        <is>
          <t>Rosen</t>
        </is>
      </c>
      <c r="I86" s="10" t="inlineStr">
        <is>
          <t>Buro Ejecutivo BR-4G120</t>
        </is>
      </c>
      <c r="J86" s="9" t="inlineStr">
        <is>
          <t>SN-DTP22-5063</t>
        </is>
      </c>
      <c r="K86" s="11" t="n">
        <v>44503</v>
      </c>
      <c r="L86" s="12" t="n">
        <v>189900</v>
      </c>
      <c r="M86" s="10" t="inlineStr">
        <is>
          <t>JEFE DPTO. PRODUCC.</t>
        </is>
      </c>
    </row>
    <row r="87">
      <c r="A87" s="13" t="n">
        <v>83</v>
      </c>
      <c r="B87" s="14" t="inlineStr">
        <is>
          <t>DIRECCION TECNICO-PRODUCTIVA</t>
        </is>
      </c>
      <c r="C87" s="13" t="inlineStr">
        <is>
          <t>DTP-23</t>
        </is>
      </c>
      <c r="D87" s="14" t="inlineStr">
        <is>
          <t>SILLA GIRATORIA</t>
        </is>
      </c>
      <c r="E87" s="14" t="inlineStr">
        <is>
          <t>MOBILIARIO</t>
        </is>
      </c>
      <c r="F87" s="13" t="inlineStr">
        <is>
          <t>SERVICIO</t>
        </is>
      </c>
      <c r="G87" s="14" t="inlineStr">
        <is>
          <t>DEPARTAMENTO PRODUCC.</t>
        </is>
      </c>
      <c r="H87" s="14" t="inlineStr">
        <is>
          <t>Ergosillas</t>
        </is>
      </c>
      <c r="I87" s="14" t="inlineStr">
        <is>
          <t>Pro Ergo 120</t>
        </is>
      </c>
      <c r="J87" s="13" t="inlineStr">
        <is>
          <t>SN-DTP23-5200</t>
        </is>
      </c>
      <c r="K87" s="15" t="n">
        <v>44508</v>
      </c>
      <c r="L87" s="16" t="n">
        <v>109900</v>
      </c>
      <c r="M87" s="14" t="inlineStr">
        <is>
          <t>JEFE DPTO. PRODUCC.</t>
        </is>
      </c>
    </row>
    <row r="88">
      <c r="A88" s="9" t="n">
        <v>84</v>
      </c>
      <c r="B88" s="10" t="inlineStr">
        <is>
          <t>DIRECCION TECNICO-PRODUCTIVA</t>
        </is>
      </c>
      <c r="C88" s="9" t="inlineStr">
        <is>
          <t>DTP-24</t>
        </is>
      </c>
      <c r="D88" s="10" t="inlineStr">
        <is>
          <t>SILLA GIRATORIA</t>
        </is>
      </c>
      <c r="E88" s="10" t="inlineStr">
        <is>
          <t>MOBILIARIO</t>
        </is>
      </c>
      <c r="F88" s="9" t="inlineStr">
        <is>
          <t>SERVICIO</t>
        </is>
      </c>
      <c r="G88" s="10" t="inlineStr">
        <is>
          <t>DEPARTAMENTO PRODUCC.</t>
        </is>
      </c>
      <c r="H88" s="10" t="inlineStr">
        <is>
          <t>Ergosillas</t>
        </is>
      </c>
      <c r="I88" s="10" t="inlineStr">
        <is>
          <t>Pro Ergo 120</t>
        </is>
      </c>
      <c r="J88" s="9" t="inlineStr">
        <is>
          <t>SN-DTP24-5337</t>
        </is>
      </c>
      <c r="K88" s="11" t="n">
        <v>44513</v>
      </c>
      <c r="L88" s="12" t="n">
        <v>109900</v>
      </c>
      <c r="M88" s="10" t="inlineStr">
        <is>
          <t>JEFE DPTO. PRODUCC.</t>
        </is>
      </c>
    </row>
    <row r="89">
      <c r="A89" s="13" t="n">
        <v>85</v>
      </c>
      <c r="B89" s="14" t="inlineStr">
        <is>
          <t>DIRECCION TECNICO-PRODUCTIVA</t>
        </is>
      </c>
      <c r="C89" s="13" t="inlineStr">
        <is>
          <t>DTP-25</t>
        </is>
      </c>
      <c r="D89" s="14" t="inlineStr">
        <is>
          <t>VENTILADOR</t>
        </is>
      </c>
      <c r="E89" s="14" t="inlineStr">
        <is>
          <t>EQUIPOS DE CLIMATIZACION Y REFRIGERACION</t>
        </is>
      </c>
      <c r="F89" s="13" t="inlineStr">
        <is>
          <t>SERVICIO</t>
        </is>
      </c>
      <c r="G89" s="14" t="inlineStr">
        <is>
          <t>DEPARTAMENTO PRODUCC.</t>
        </is>
      </c>
      <c r="H89" s="14" t="inlineStr">
        <is>
          <t>Recco</t>
        </is>
      </c>
      <c r="I89" s="14" t="inlineStr">
        <is>
          <t>RVP-45PM Pedestal</t>
        </is>
      </c>
      <c r="J89" s="13" t="inlineStr">
        <is>
          <t>SN-DTP25-5474</t>
        </is>
      </c>
      <c r="K89" s="15" t="n">
        <v>44503</v>
      </c>
      <c r="L89" s="16" t="n">
        <v>39990</v>
      </c>
      <c r="M89" s="14" t="inlineStr">
        <is>
          <t>JEFE DPTO. PRODUCC.</t>
        </is>
      </c>
    </row>
    <row r="90">
      <c r="A90" s="9" t="n">
        <v>86</v>
      </c>
      <c r="B90" s="10" t="inlineStr">
        <is>
          <t>DIRECCION TECNICO-PRODUCTIVA</t>
        </is>
      </c>
      <c r="C90" s="9" t="inlineStr">
        <is>
          <t>DTP-26</t>
        </is>
      </c>
      <c r="D90" s="10" t="inlineStr">
        <is>
          <t>VENTILADOR</t>
        </is>
      </c>
      <c r="E90" s="10" t="inlineStr">
        <is>
          <t>EQUIPOS DE CLIMATIZACION Y REFRIGERACION</t>
        </is>
      </c>
      <c r="F90" s="9" t="inlineStr">
        <is>
          <t>SERVICIO</t>
        </is>
      </c>
      <c r="G90" s="10" t="inlineStr">
        <is>
          <t>DEPARTAMENTO PRODUCC.</t>
        </is>
      </c>
      <c r="H90" s="10" t="inlineStr">
        <is>
          <t>Recco</t>
        </is>
      </c>
      <c r="I90" s="10" t="inlineStr">
        <is>
          <t>RVP-45PM Pedestal</t>
        </is>
      </c>
      <c r="J90" s="9" t="inlineStr">
        <is>
          <t>SN-DTP26-5611</t>
        </is>
      </c>
      <c r="K90" s="11" t="n">
        <v>44508</v>
      </c>
      <c r="L90" s="12" t="n">
        <v>39990</v>
      </c>
      <c r="M90" s="10" t="inlineStr">
        <is>
          <t>JEFE DPTO. PRODUCC.</t>
        </is>
      </c>
    </row>
    <row r="91">
      <c r="A91" s="13" t="n">
        <v>87</v>
      </c>
      <c r="B91" s="14" t="inlineStr">
        <is>
          <t>DIRECCION TECNICO-PRODUCTIVA</t>
        </is>
      </c>
      <c r="C91" s="13" t="inlineStr">
        <is>
          <t>DTP-27</t>
        </is>
      </c>
      <c r="D91" s="14" t="inlineStr">
        <is>
          <t>PC ESCRITORIO</t>
        </is>
      </c>
      <c r="E91" s="14" t="inlineStr">
        <is>
          <t>INFORMATICA</t>
        </is>
      </c>
      <c r="F91" s="13" t="inlineStr">
        <is>
          <t>SERVICIO</t>
        </is>
      </c>
      <c r="G91" s="14" t="inlineStr">
        <is>
          <t>DEPARTAMENTO PRODUCC.</t>
        </is>
      </c>
      <c r="H91" s="14" t="inlineStr">
        <is>
          <t>HP</t>
        </is>
      </c>
      <c r="I91" s="14" t="inlineStr">
        <is>
          <t>ProDesk 400 G9 SFF</t>
        </is>
      </c>
      <c r="J91" s="13" t="inlineStr">
        <is>
          <t>SN-DTP27-5748</t>
        </is>
      </c>
      <c r="K91" s="15" t="n">
        <v>44513</v>
      </c>
      <c r="L91" s="16" t="n">
        <v>549900</v>
      </c>
      <c r="M91" s="14" t="inlineStr">
        <is>
          <t>JEFE DPTO. PRODUCC.</t>
        </is>
      </c>
    </row>
    <row r="92">
      <c r="A92" s="9" t="n">
        <v>88</v>
      </c>
      <c r="B92" s="10" t="inlineStr">
        <is>
          <t>DIRECCION TECNICO-PRODUCTIVA</t>
        </is>
      </c>
      <c r="C92" s="9" t="inlineStr">
        <is>
          <t>DTP-28</t>
        </is>
      </c>
      <c r="D92" s="10" t="inlineStr">
        <is>
          <t>PC ESCRITORIO</t>
        </is>
      </c>
      <c r="E92" s="10" t="inlineStr">
        <is>
          <t>INFORMATICA</t>
        </is>
      </c>
      <c r="F92" s="18" t="inlineStr">
        <is>
          <t>SERVICIO</t>
        </is>
      </c>
      <c r="G92" s="10" t="inlineStr">
        <is>
          <t>DEPARTAMENTO PRODUCC.</t>
        </is>
      </c>
      <c r="H92" s="10" t="inlineStr">
        <is>
          <t>HP</t>
        </is>
      </c>
      <c r="I92" s="10" t="inlineStr">
        <is>
          <t>ProDesk 400 G9 SFF</t>
        </is>
      </c>
      <c r="J92" s="9" t="inlineStr">
        <is>
          <t>SN-DTP28-5885</t>
        </is>
      </c>
      <c r="K92" s="11" t="n">
        <v>44503</v>
      </c>
      <c r="L92" s="12" t="n">
        <v>549900</v>
      </c>
      <c r="M92" s="10" t="inlineStr">
        <is>
          <t>JEFE DPTO. PRODUCC.</t>
        </is>
      </c>
    </row>
    <row r="93">
      <c r="A93" s="13" t="n">
        <v>89</v>
      </c>
      <c r="B93" s="14" t="inlineStr">
        <is>
          <t>DIRECCION TECNICO-PRODUCTIVA</t>
        </is>
      </c>
      <c r="C93" s="13" t="inlineStr">
        <is>
          <t>DTP-29</t>
        </is>
      </c>
      <c r="D93" s="14" t="inlineStr">
        <is>
          <t>1 IMPRESORA</t>
        </is>
      </c>
      <c r="E93" s="14" t="inlineStr">
        <is>
          <t>INFORMATICA</t>
        </is>
      </c>
      <c r="F93" s="13" t="inlineStr">
        <is>
          <t>SERVICIO</t>
        </is>
      </c>
      <c r="G93" s="14" t="inlineStr">
        <is>
          <t>DEPARTAMENTO PRODUCC.</t>
        </is>
      </c>
      <c r="H93" s="14" t="inlineStr">
        <is>
          <t>Epson</t>
        </is>
      </c>
      <c r="I93" s="14" t="inlineStr">
        <is>
          <t>EcoTank L3250</t>
        </is>
      </c>
      <c r="J93" s="13" t="inlineStr">
        <is>
          <t>SN-DTP29-6022</t>
        </is>
      </c>
      <c r="K93" s="15" t="n">
        <v>44508</v>
      </c>
      <c r="L93" s="16" t="n">
        <v>179900</v>
      </c>
      <c r="M93" s="14" t="inlineStr">
        <is>
          <t>JEFE DPTO. PRODUCC.</t>
        </is>
      </c>
    </row>
    <row r="94">
      <c r="A94" s="9" t="n">
        <v>90</v>
      </c>
      <c r="B94" s="10" t="inlineStr">
        <is>
          <t>DIRECCION TECNICO-PRODUCTIVA</t>
        </is>
      </c>
      <c r="C94" s="9" t="inlineStr">
        <is>
          <t>DTP-30</t>
        </is>
      </c>
      <c r="D94" s="10" t="inlineStr">
        <is>
          <t>MESA BURO/ 4 GAVETAS</t>
        </is>
      </c>
      <c r="E94" s="10" t="inlineStr">
        <is>
          <t>MOBILIARIO</t>
        </is>
      </c>
      <c r="F94" s="9" t="inlineStr">
        <is>
          <t>SERVICIO</t>
        </is>
      </c>
      <c r="G94" s="10" t="inlineStr">
        <is>
          <t>PLANTA JABONERIA</t>
        </is>
      </c>
      <c r="H94" s="10" t="inlineStr">
        <is>
          <t>Rosen</t>
        </is>
      </c>
      <c r="I94" s="10" t="inlineStr">
        <is>
          <t>Buro Ejecutivo BR-4G120</t>
        </is>
      </c>
      <c r="J94" s="9" t="inlineStr">
        <is>
          <t>SN-DTP30-6159</t>
        </is>
      </c>
      <c r="K94" s="11" t="n">
        <v>43979</v>
      </c>
      <c r="L94" s="12" t="n">
        <v>189900</v>
      </c>
      <c r="M94" s="10" t="inlineStr">
        <is>
          <t>JEFE PLANTA JABONERIA</t>
        </is>
      </c>
    </row>
    <row r="95">
      <c r="A95" s="13" t="n">
        <v>91</v>
      </c>
      <c r="B95" s="14" t="inlineStr">
        <is>
          <t>DIRECCION TECNICO-PRODUCTIVA</t>
        </is>
      </c>
      <c r="C95" s="13" t="inlineStr">
        <is>
          <t>DTP-31</t>
        </is>
      </c>
      <c r="D95" s="14" t="inlineStr">
        <is>
          <t>MESA BURO/ 4 GAVETAS</t>
        </is>
      </c>
      <c r="E95" s="14" t="inlineStr">
        <is>
          <t>MOBILIARIO</t>
        </is>
      </c>
      <c r="F95" s="13" t="inlineStr">
        <is>
          <t>SERVICIO</t>
        </is>
      </c>
      <c r="G95" s="14" t="inlineStr">
        <is>
          <t>PLANTA JABONERIA</t>
        </is>
      </c>
      <c r="H95" s="14" t="inlineStr">
        <is>
          <t>Rosen</t>
        </is>
      </c>
      <c r="I95" s="14" t="inlineStr">
        <is>
          <t>Buro Ejecutivo BR-4G120</t>
        </is>
      </c>
      <c r="J95" s="13" t="inlineStr">
        <is>
          <t>SN-DTP31-6296</t>
        </is>
      </c>
      <c r="K95" s="15" t="n">
        <v>43970</v>
      </c>
      <c r="L95" s="16" t="n">
        <v>189900</v>
      </c>
      <c r="M95" s="14" t="inlineStr">
        <is>
          <t>JEFE PLANTA JABONERIA</t>
        </is>
      </c>
    </row>
    <row r="96">
      <c r="A96" s="9" t="n">
        <v>92</v>
      </c>
      <c r="B96" s="10" t="inlineStr">
        <is>
          <t>DIRECCION TECNICO-PRODUCTIVA</t>
        </is>
      </c>
      <c r="C96" s="9" t="inlineStr">
        <is>
          <t>DTP-32</t>
        </is>
      </c>
      <c r="D96" s="10" t="inlineStr">
        <is>
          <t>SILLA GIRATORIA</t>
        </is>
      </c>
      <c r="E96" s="10" t="inlineStr">
        <is>
          <t>MOBILIARIO</t>
        </is>
      </c>
      <c r="F96" s="9" t="inlineStr">
        <is>
          <t>SERVICIO</t>
        </is>
      </c>
      <c r="G96" s="10" t="inlineStr">
        <is>
          <t>PLANTA JABONERIA</t>
        </is>
      </c>
      <c r="H96" s="10" t="inlineStr">
        <is>
          <t>Ergosillas</t>
        </is>
      </c>
      <c r="I96" s="10" t="inlineStr">
        <is>
          <t>Pro Ergo 120</t>
        </is>
      </c>
      <c r="J96" s="9" t="inlineStr">
        <is>
          <t>SN-DTP32-6433</t>
        </is>
      </c>
      <c r="K96" s="11" t="n">
        <v>43975</v>
      </c>
      <c r="L96" s="12" t="n">
        <v>109900</v>
      </c>
      <c r="M96" s="10" t="inlineStr">
        <is>
          <t>JEFE PLANTA JABONERIA</t>
        </is>
      </c>
    </row>
    <row r="97">
      <c r="A97" s="13" t="n">
        <v>93</v>
      </c>
      <c r="B97" s="14" t="inlineStr">
        <is>
          <t>DIRECCION TECNICO-PRODUCTIVA</t>
        </is>
      </c>
      <c r="C97" s="13" t="inlineStr">
        <is>
          <t>DTP-33</t>
        </is>
      </c>
      <c r="D97" s="14" t="inlineStr">
        <is>
          <t>SILLA GIRATORIA</t>
        </is>
      </c>
      <c r="E97" s="14" t="inlineStr">
        <is>
          <t>MOBILIARIO</t>
        </is>
      </c>
      <c r="F97" s="13" t="inlineStr">
        <is>
          <t>SERVICIO</t>
        </is>
      </c>
      <c r="G97" s="14" t="inlineStr">
        <is>
          <t>PLANTA JABONERIA</t>
        </is>
      </c>
      <c r="H97" s="14" t="inlineStr">
        <is>
          <t>Ergosillas</t>
        </is>
      </c>
      <c r="I97" s="14" t="inlineStr">
        <is>
          <t>Pro Ergo 120</t>
        </is>
      </c>
      <c r="J97" s="13" t="inlineStr">
        <is>
          <t>SN-DTP33-6570</t>
        </is>
      </c>
      <c r="K97" s="15" t="n">
        <v>43979</v>
      </c>
      <c r="L97" s="16" t="n">
        <v>109900</v>
      </c>
      <c r="M97" s="14" t="inlineStr">
        <is>
          <t>JEFE PLANTA JABONERIA</t>
        </is>
      </c>
    </row>
    <row r="98">
      <c r="A98" s="9" t="n">
        <v>94</v>
      </c>
      <c r="B98" s="10" t="inlineStr">
        <is>
          <t>DIRECCION TECNICO-PRODUCTIVA</t>
        </is>
      </c>
      <c r="C98" s="9" t="inlineStr">
        <is>
          <t>DTP-34</t>
        </is>
      </c>
      <c r="D98" s="10" t="inlineStr">
        <is>
          <t>VENTILADOR</t>
        </is>
      </c>
      <c r="E98" s="10" t="inlineStr">
        <is>
          <t>EQUIPOS DE CLIMATIZACION Y REFRIGERACION</t>
        </is>
      </c>
      <c r="F98" s="20" t="inlineStr">
        <is>
          <t>BAJA</t>
        </is>
      </c>
      <c r="G98" s="10" t="inlineStr">
        <is>
          <t>PLANTA JABONERIA</t>
        </is>
      </c>
      <c r="H98" s="10" t="inlineStr">
        <is>
          <t>Recco</t>
        </is>
      </c>
      <c r="I98" s="10" t="inlineStr">
        <is>
          <t>RVP-45PM Pedestal</t>
        </is>
      </c>
      <c r="J98" s="9" t="inlineStr">
        <is>
          <t>SN-DTP34-6707</t>
        </is>
      </c>
      <c r="K98" s="11" t="n">
        <v>43970</v>
      </c>
      <c r="L98" s="12" t="n">
        <v>39990</v>
      </c>
      <c r="M98" s="10" t="inlineStr">
        <is>
          <t>JEFE PLANTA JABONERIA</t>
        </is>
      </c>
    </row>
    <row r="99">
      <c r="A99" s="13" t="n">
        <v>95</v>
      </c>
      <c r="B99" s="14" t="inlineStr">
        <is>
          <t>DIRECCION TECNICO-PRODUCTIVA</t>
        </is>
      </c>
      <c r="C99" s="13" t="inlineStr">
        <is>
          <t>DTP-35</t>
        </is>
      </c>
      <c r="D99" s="14" t="inlineStr">
        <is>
          <t>VENTILADOR</t>
        </is>
      </c>
      <c r="E99" s="14" t="inlineStr">
        <is>
          <t>EQUIPOS DE CLIMATIZACION Y REFRIGERACION</t>
        </is>
      </c>
      <c r="F99" s="13" t="inlineStr">
        <is>
          <t>SERVICIO</t>
        </is>
      </c>
      <c r="G99" s="14" t="inlineStr">
        <is>
          <t>PLANTA JABONERIA</t>
        </is>
      </c>
      <c r="H99" s="14" t="inlineStr">
        <is>
          <t>Recco</t>
        </is>
      </c>
      <c r="I99" s="14" t="inlineStr">
        <is>
          <t>RVP-45PM Pedestal</t>
        </is>
      </c>
      <c r="J99" s="13" t="inlineStr">
        <is>
          <t>SN-DTP35-6844</t>
        </is>
      </c>
      <c r="K99" s="15" t="n">
        <v>43975</v>
      </c>
      <c r="L99" s="16" t="n">
        <v>39990</v>
      </c>
      <c r="M99" s="14" t="inlineStr">
        <is>
          <t>JEFE PLANTA JABONERIA</t>
        </is>
      </c>
    </row>
    <row r="100">
      <c r="A100" s="9" t="n">
        <v>96</v>
      </c>
      <c r="B100" s="10" t="inlineStr">
        <is>
          <t>DIRECCION TECNICO-PRODUCTIVA</t>
        </is>
      </c>
      <c r="C100" s="9" t="inlineStr">
        <is>
          <t>DTP-36</t>
        </is>
      </c>
      <c r="D100" s="10" t="inlineStr">
        <is>
          <t>PC ESCRITORIO</t>
        </is>
      </c>
      <c r="E100" s="10" t="inlineStr">
        <is>
          <t>INFORMATICA</t>
        </is>
      </c>
      <c r="F100" s="9" t="inlineStr">
        <is>
          <t>SERVICIO</t>
        </is>
      </c>
      <c r="G100" s="10" t="inlineStr">
        <is>
          <t>PLANTA JABONERIA</t>
        </is>
      </c>
      <c r="H100" s="10" t="inlineStr">
        <is>
          <t>HP</t>
        </is>
      </c>
      <c r="I100" s="10" t="inlineStr">
        <is>
          <t>ProDesk 400 G9 SFF</t>
        </is>
      </c>
      <c r="J100" s="9" t="inlineStr">
        <is>
          <t>SN-DTP36-6981</t>
        </is>
      </c>
      <c r="K100" s="11" t="n">
        <v>43979</v>
      </c>
      <c r="L100" s="12" t="n">
        <v>549900</v>
      </c>
      <c r="M100" s="10" t="inlineStr">
        <is>
          <t>JEFE PLANTA JABONERIA</t>
        </is>
      </c>
    </row>
    <row r="101">
      <c r="A101" s="13" t="n">
        <v>97</v>
      </c>
      <c r="B101" s="14" t="inlineStr">
        <is>
          <t>DIRECCION TECNICO-PRODUCTIVA</t>
        </is>
      </c>
      <c r="C101" s="13" t="inlineStr">
        <is>
          <t>DTP-37</t>
        </is>
      </c>
      <c r="D101" s="14" t="inlineStr">
        <is>
          <t>PC ESCRITORIO</t>
        </is>
      </c>
      <c r="E101" s="14" t="inlineStr">
        <is>
          <t>INFORMATICA</t>
        </is>
      </c>
      <c r="F101" s="13" t="inlineStr">
        <is>
          <t>SERVICIO</t>
        </is>
      </c>
      <c r="G101" s="14" t="inlineStr">
        <is>
          <t>PLANTA JABONERIA</t>
        </is>
      </c>
      <c r="H101" s="14" t="inlineStr">
        <is>
          <t>HP</t>
        </is>
      </c>
      <c r="I101" s="14" t="inlineStr">
        <is>
          <t>ProDesk 400 G9 SFF</t>
        </is>
      </c>
      <c r="J101" s="13" t="inlineStr">
        <is>
          <t>SN-DTP37-7118</t>
        </is>
      </c>
      <c r="K101" s="15" t="n">
        <v>43970</v>
      </c>
      <c r="L101" s="16" t="n">
        <v>549900</v>
      </c>
      <c r="M101" s="14" t="inlineStr">
        <is>
          <t>JEFE PLANTA JABONERIA</t>
        </is>
      </c>
    </row>
    <row r="102">
      <c r="A102" s="9" t="n">
        <v>98</v>
      </c>
      <c r="B102" s="10" t="inlineStr">
        <is>
          <t>DIRECCION TECNICO-PRODUCTIVA</t>
        </is>
      </c>
      <c r="C102" s="9" t="inlineStr">
        <is>
          <t>DTP-38</t>
        </is>
      </c>
      <c r="D102" s="10" t="inlineStr">
        <is>
          <t>1 IMPRESORA</t>
        </is>
      </c>
      <c r="E102" s="10" t="inlineStr">
        <is>
          <t>INFORMATICA</t>
        </is>
      </c>
      <c r="F102" s="9" t="inlineStr">
        <is>
          <t>SERVICIO</t>
        </is>
      </c>
      <c r="G102" s="10" t="inlineStr">
        <is>
          <t>PLANTA JABONERIA</t>
        </is>
      </c>
      <c r="H102" s="10" t="inlineStr">
        <is>
          <t>Epson</t>
        </is>
      </c>
      <c r="I102" s="10" t="inlineStr">
        <is>
          <t>EcoTank L3250</t>
        </is>
      </c>
      <c r="J102" s="9" t="inlineStr">
        <is>
          <t>SN-DTP38-7255</t>
        </is>
      </c>
      <c r="K102" s="11" t="n">
        <v>43975</v>
      </c>
      <c r="L102" s="12" t="n">
        <v>179900</v>
      </c>
      <c r="M102" s="10" t="inlineStr">
        <is>
          <t>JEFE PLANTA JABONERIA</t>
        </is>
      </c>
    </row>
    <row r="103">
      <c r="A103" s="13" t="n">
        <v>99</v>
      </c>
      <c r="B103" s="14" t="inlineStr">
        <is>
          <t>DIRECCION TECNICO-PRODUCTIVA</t>
        </is>
      </c>
      <c r="C103" s="13" t="inlineStr">
        <is>
          <t>DTP-39</t>
        </is>
      </c>
      <c r="D103" s="14" t="inlineStr">
        <is>
          <t>LINEA DE JABONERIA</t>
        </is>
      </c>
      <c r="E103" s="14" t="inlineStr">
        <is>
          <t>TECNOLOGIA</t>
        </is>
      </c>
      <c r="F103" s="13" t="inlineStr">
        <is>
          <t>SERVICIO</t>
        </is>
      </c>
      <c r="G103" s="14" t="inlineStr">
        <is>
          <t>PLANTA JABONERIA</t>
        </is>
      </c>
      <c r="H103" s="14" t="inlineStr">
        <is>
          <t>Mazzoni LB</t>
        </is>
      </c>
      <c r="I103" s="14" t="inlineStr">
        <is>
          <t>SLP-800 Jaboneria</t>
        </is>
      </c>
      <c r="J103" s="13" t="inlineStr">
        <is>
          <t>SN-DTP39-7392</t>
        </is>
      </c>
      <c r="K103" s="15" t="n">
        <v>43979</v>
      </c>
      <c r="L103" s="16" t="n">
        <v>84900000</v>
      </c>
      <c r="M103" s="14" t="inlineStr">
        <is>
          <t>JEFE PLANTA JABONERIA</t>
        </is>
      </c>
    </row>
    <row r="104">
      <c r="A104" s="9" t="n">
        <v>100</v>
      </c>
      <c r="B104" s="10" t="inlineStr">
        <is>
          <t>DIRECCION TECNICO-PRODUCTIVA</t>
        </is>
      </c>
      <c r="C104" s="9" t="inlineStr">
        <is>
          <t>DTP-40</t>
        </is>
      </c>
      <c r="D104" s="10" t="inlineStr">
        <is>
          <t>LINEA DE JABONERIA</t>
        </is>
      </c>
      <c r="E104" s="10" t="inlineStr">
        <is>
          <t>TECNOLOGIA</t>
        </is>
      </c>
      <c r="F104" s="9" t="inlineStr">
        <is>
          <t>SERVICIO</t>
        </is>
      </c>
      <c r="G104" s="10" t="inlineStr">
        <is>
          <t>PLANTA JABONERIA</t>
        </is>
      </c>
      <c r="H104" s="10" t="inlineStr">
        <is>
          <t>Mazzoni LB</t>
        </is>
      </c>
      <c r="I104" s="10" t="inlineStr">
        <is>
          <t>SLP-800 Jaboneria</t>
        </is>
      </c>
      <c r="J104" s="9" t="inlineStr">
        <is>
          <t>SN-DTP40-7529</t>
        </is>
      </c>
      <c r="K104" s="11" t="n">
        <v>43970</v>
      </c>
      <c r="L104" s="12" t="n">
        <v>84900000</v>
      </c>
      <c r="M104" s="10" t="inlineStr">
        <is>
          <t>JEFE PLANTA JABONERIA</t>
        </is>
      </c>
    </row>
    <row r="105">
      <c r="A105" s="13" t="n">
        <v>101</v>
      </c>
      <c r="B105" s="14" t="inlineStr">
        <is>
          <t>DIRECCION TECNICO-PRODUCTIVA</t>
        </is>
      </c>
      <c r="C105" s="13" t="inlineStr">
        <is>
          <t>DTP-41</t>
        </is>
      </c>
      <c r="D105" s="14" t="inlineStr">
        <is>
          <t>LINEA DE JABONERIA</t>
        </is>
      </c>
      <c r="E105" s="14" t="inlineStr">
        <is>
          <t>TECNOLOGIA</t>
        </is>
      </c>
      <c r="F105" s="13" t="inlineStr">
        <is>
          <t>SERVICIO</t>
        </is>
      </c>
      <c r="G105" s="14" t="inlineStr">
        <is>
          <t>PLANTA JABONERIA</t>
        </is>
      </c>
      <c r="H105" s="14" t="inlineStr">
        <is>
          <t>Mazzoni LB</t>
        </is>
      </c>
      <c r="I105" s="14" t="inlineStr">
        <is>
          <t>SLP-800 Jaboneria</t>
        </is>
      </c>
      <c r="J105" s="13" t="inlineStr">
        <is>
          <t>SN-DTP41-7666</t>
        </is>
      </c>
      <c r="K105" s="15" t="n">
        <v>43975</v>
      </c>
      <c r="L105" s="16" t="n">
        <v>84900000</v>
      </c>
      <c r="M105" s="14" t="inlineStr">
        <is>
          <t>JEFE PLANTA JABONERIA</t>
        </is>
      </c>
    </row>
    <row r="106">
      <c r="A106" s="9" t="n">
        <v>102</v>
      </c>
      <c r="B106" s="10" t="inlineStr">
        <is>
          <t>DIRECCION TECNICO-PRODUCTIVA</t>
        </is>
      </c>
      <c r="C106" s="9" t="inlineStr">
        <is>
          <t>DTP-42</t>
        </is>
      </c>
      <c r="D106" s="10" t="inlineStr">
        <is>
          <t>LINEA DE JABONERIA</t>
        </is>
      </c>
      <c r="E106" s="10" t="inlineStr">
        <is>
          <t>TECNOLOGIA</t>
        </is>
      </c>
      <c r="F106" s="9" t="inlineStr">
        <is>
          <t>SERVICIO</t>
        </is>
      </c>
      <c r="G106" s="10" t="inlineStr">
        <is>
          <t>PLANTA JABONERIA</t>
        </is>
      </c>
      <c r="H106" s="10" t="inlineStr">
        <is>
          <t>Mazzoni LB</t>
        </is>
      </c>
      <c r="I106" s="10" t="inlineStr">
        <is>
          <t>SLP-800 Jaboneria</t>
        </is>
      </c>
      <c r="J106" s="9" t="inlineStr">
        <is>
          <t>SN-DTP42-7803</t>
        </is>
      </c>
      <c r="K106" s="11" t="n">
        <v>43979</v>
      </c>
      <c r="L106" s="12" t="n">
        <v>84900000</v>
      </c>
      <c r="M106" s="10" t="inlineStr">
        <is>
          <t>JEFE PLANTA JABONERIA</t>
        </is>
      </c>
    </row>
    <row r="107">
      <c r="A107" s="13" t="n">
        <v>103</v>
      </c>
      <c r="B107" s="14" t="inlineStr">
        <is>
          <t>DIRECCION TECNICO-PRODUCTIVA</t>
        </is>
      </c>
      <c r="C107" s="13" t="inlineStr">
        <is>
          <t>DTP-43</t>
        </is>
      </c>
      <c r="D107" s="14" t="inlineStr">
        <is>
          <t>MONTA CARGA ELECTRICO</t>
        </is>
      </c>
      <c r="E107" s="14" t="inlineStr">
        <is>
          <t>TRANSPORTE</t>
        </is>
      </c>
      <c r="F107" s="13" t="inlineStr">
        <is>
          <t>SERVICIO</t>
        </is>
      </c>
      <c r="G107" s="14" t="inlineStr">
        <is>
          <t>PLANTA JABONERIA</t>
        </is>
      </c>
      <c r="H107" s="14" t="inlineStr">
        <is>
          <t>Toyota</t>
        </is>
      </c>
      <c r="I107" s="14" t="inlineStr">
        <is>
          <t>8FBET18 Electrico 1,8 t</t>
        </is>
      </c>
      <c r="J107" s="13" t="inlineStr">
        <is>
          <t>SN-DTP43-7940</t>
        </is>
      </c>
      <c r="K107" s="15" t="n">
        <v>43970</v>
      </c>
      <c r="L107" s="16" t="n">
        <v>18900000</v>
      </c>
      <c r="M107" s="14" t="inlineStr">
        <is>
          <t>JEFE PLANTA JABONERIA</t>
        </is>
      </c>
    </row>
    <row r="108">
      <c r="A108" s="9" t="n">
        <v>104</v>
      </c>
      <c r="B108" s="10" t="inlineStr">
        <is>
          <t>DIRECCION TECNICO-PRODUCTIVA</t>
        </is>
      </c>
      <c r="C108" s="9" t="inlineStr">
        <is>
          <t>DTP-44</t>
        </is>
      </c>
      <c r="D108" s="10" t="inlineStr">
        <is>
          <t>EXTRACTOR DE AIRE</t>
        </is>
      </c>
      <c r="E108" s="10" t="inlineStr">
        <is>
          <t>EQUIPOS DE CLIMATIZACION Y REFRIGERACION</t>
        </is>
      </c>
      <c r="F108" s="9" t="inlineStr">
        <is>
          <t>SERVICIO</t>
        </is>
      </c>
      <c r="G108" s="10" t="inlineStr">
        <is>
          <t>PLANTA JABONERIA</t>
        </is>
      </c>
      <c r="H108" s="10" t="inlineStr">
        <is>
          <t>Soler &amp; Palau</t>
        </is>
      </c>
      <c r="I108" s="10" t="inlineStr">
        <is>
          <t>HXBR-400 Industrial</t>
        </is>
      </c>
      <c r="J108" s="9" t="inlineStr">
        <is>
          <t>SN-DTP44-8077</t>
        </is>
      </c>
      <c r="K108" s="11" t="n">
        <v>43975</v>
      </c>
      <c r="L108" s="12" t="n">
        <v>1290000</v>
      </c>
      <c r="M108" s="10" t="inlineStr">
        <is>
          <t>JEFE PLANTA JABONERIA</t>
        </is>
      </c>
    </row>
    <row r="109">
      <c r="A109" s="13" t="n">
        <v>105</v>
      </c>
      <c r="B109" s="14" t="inlineStr">
        <is>
          <t>DIRECCION TECNICO-PRODUCTIVA</t>
        </is>
      </c>
      <c r="C109" s="13" t="inlineStr">
        <is>
          <t>DTP-45</t>
        </is>
      </c>
      <c r="D109" s="14" t="inlineStr">
        <is>
          <t>EXTRACTOR DE AIRE</t>
        </is>
      </c>
      <c r="E109" s="14" t="inlineStr">
        <is>
          <t>EQUIPOS DE CLIMATIZACION Y REFRIGERACION</t>
        </is>
      </c>
      <c r="F109" s="13" t="inlineStr">
        <is>
          <t>SERVICIO</t>
        </is>
      </c>
      <c r="G109" s="14" t="inlineStr">
        <is>
          <t>PLANTA JABONERIA</t>
        </is>
      </c>
      <c r="H109" s="14" t="inlineStr">
        <is>
          <t>Soler &amp; Palau</t>
        </is>
      </c>
      <c r="I109" s="14" t="inlineStr">
        <is>
          <t>HXBR-400 Industrial</t>
        </is>
      </c>
      <c r="J109" s="13" t="inlineStr">
        <is>
          <t>SN-DTP45-8214</t>
        </is>
      </c>
      <c r="K109" s="15" t="n">
        <v>43979</v>
      </c>
      <c r="L109" s="16" t="n">
        <v>1290000</v>
      </c>
      <c r="M109" s="14" t="inlineStr">
        <is>
          <t>JEFE PLANTA JABONERIA</t>
        </is>
      </c>
    </row>
    <row r="110">
      <c r="A110" s="9" t="n">
        <v>106</v>
      </c>
      <c r="B110" s="10" t="inlineStr">
        <is>
          <t>DIRECCION TECNICO-PRODUCTIVA</t>
        </is>
      </c>
      <c r="C110" s="9" t="inlineStr">
        <is>
          <t>DTP-46</t>
        </is>
      </c>
      <c r="D110" s="10" t="inlineStr">
        <is>
          <t>EXTRACTOR DE AIRE</t>
        </is>
      </c>
      <c r="E110" s="10" t="inlineStr">
        <is>
          <t>EQUIPOS DE CLIMATIZACION Y REFRIGERACION</t>
        </is>
      </c>
      <c r="F110" s="20" t="inlineStr">
        <is>
          <t>BAJA</t>
        </is>
      </c>
      <c r="G110" s="10" t="inlineStr">
        <is>
          <t>PLANTA JABONERIA</t>
        </is>
      </c>
      <c r="H110" s="10" t="inlineStr">
        <is>
          <t>Soler &amp; Palau</t>
        </is>
      </c>
      <c r="I110" s="10" t="inlineStr">
        <is>
          <t>HXBR-400 Industrial</t>
        </is>
      </c>
      <c r="J110" s="9" t="inlineStr">
        <is>
          <t>SN-DTP46-8351</t>
        </is>
      </c>
      <c r="K110" s="11" t="n">
        <v>43970</v>
      </c>
      <c r="L110" s="12" t="n">
        <v>1290000</v>
      </c>
      <c r="M110" s="10" t="inlineStr">
        <is>
          <t>JEFE PLANTA JABONERIA</t>
        </is>
      </c>
    </row>
    <row r="111">
      <c r="A111" s="13" t="n">
        <v>107</v>
      </c>
      <c r="B111" s="14" t="inlineStr">
        <is>
          <t>DIRECCION TECNICO-PRODUCTIVA</t>
        </is>
      </c>
      <c r="C111" s="13" t="inlineStr">
        <is>
          <t>DTP-47</t>
        </is>
      </c>
      <c r="D111" s="14" t="inlineStr">
        <is>
          <t>EXTRACTOR DE AIRE</t>
        </is>
      </c>
      <c r="E111" s="14" t="inlineStr">
        <is>
          <t>EQUIPOS DE CLIMATIZACION Y REFRIGERACION</t>
        </is>
      </c>
      <c r="F111" s="17" t="inlineStr">
        <is>
          <t>MTTO</t>
        </is>
      </c>
      <c r="G111" s="14" t="inlineStr">
        <is>
          <t>PLANTA JABONERIA</t>
        </is>
      </c>
      <c r="H111" s="14" t="inlineStr">
        <is>
          <t>Soler &amp; Palau</t>
        </is>
      </c>
      <c r="I111" s="14" t="inlineStr">
        <is>
          <t>HXBR-400 Industrial</t>
        </is>
      </c>
      <c r="J111" s="13" t="inlineStr">
        <is>
          <t>SN-DTP47-8488</t>
        </is>
      </c>
      <c r="K111" s="15" t="n">
        <v>43975</v>
      </c>
      <c r="L111" s="16" t="n">
        <v>1290000</v>
      </c>
      <c r="M111" s="14" t="inlineStr">
        <is>
          <t>JEFE PLANTA JABONERIA</t>
        </is>
      </c>
    </row>
    <row r="112">
      <c r="A112" s="9" t="n">
        <v>108</v>
      </c>
      <c r="B112" s="10" t="inlineStr">
        <is>
          <t>DIRECCION TECNICO-PRODUCTIVA</t>
        </is>
      </c>
      <c r="C112" s="9" t="inlineStr">
        <is>
          <t>DTP-48</t>
        </is>
      </c>
      <c r="D112" s="10" t="inlineStr">
        <is>
          <t>EXTRACTOR DE AIRE</t>
        </is>
      </c>
      <c r="E112" s="10" t="inlineStr">
        <is>
          <t>EQUIPOS DE CLIMATIZACION Y REFRIGERACION</t>
        </is>
      </c>
      <c r="F112" s="9" t="inlineStr">
        <is>
          <t>SERVICIO</t>
        </is>
      </c>
      <c r="G112" s="10" t="inlineStr">
        <is>
          <t>PLANTA JABONERIA</t>
        </is>
      </c>
      <c r="H112" s="10" t="inlineStr">
        <is>
          <t>Soler &amp; Palau</t>
        </is>
      </c>
      <c r="I112" s="10" t="inlineStr">
        <is>
          <t>HXBR-400 Industrial</t>
        </is>
      </c>
      <c r="J112" s="9" t="inlineStr">
        <is>
          <t>SN-DTP48-8625</t>
        </is>
      </c>
      <c r="K112" s="11" t="n">
        <v>43979</v>
      </c>
      <c r="L112" s="12" t="n">
        <v>1290000</v>
      </c>
      <c r="M112" s="10" t="inlineStr">
        <is>
          <t>JEFE PLANTA JABONERIA</t>
        </is>
      </c>
    </row>
    <row r="113">
      <c r="A113" s="13" t="n">
        <v>109</v>
      </c>
      <c r="B113" s="14" t="inlineStr">
        <is>
          <t>DIRECCION TECNICO-PRODUCTIVA</t>
        </is>
      </c>
      <c r="C113" s="13" t="inlineStr">
        <is>
          <t>DTP-49</t>
        </is>
      </c>
      <c r="D113" s="14" t="inlineStr">
        <is>
          <t>EXTRACTOR DE AIRE</t>
        </is>
      </c>
      <c r="E113" s="14" t="inlineStr">
        <is>
          <t>EQUIPOS DE CLIMATIZACION Y REFRIGERACION</t>
        </is>
      </c>
      <c r="F113" s="13" t="inlineStr">
        <is>
          <t>SERVICIO</t>
        </is>
      </c>
      <c r="G113" s="14" t="inlineStr">
        <is>
          <t>PLANTA JABONERIA</t>
        </is>
      </c>
      <c r="H113" s="14" t="inlineStr">
        <is>
          <t>Soler &amp; Palau</t>
        </is>
      </c>
      <c r="I113" s="14" t="inlineStr">
        <is>
          <t>HXBR-400 Industrial</t>
        </is>
      </c>
      <c r="J113" s="13" t="inlineStr">
        <is>
          <t>SN-DTP49-8762</t>
        </is>
      </c>
      <c r="K113" s="15" t="n">
        <v>43970</v>
      </c>
      <c r="L113" s="16" t="n">
        <v>1290000</v>
      </c>
      <c r="M113" s="14" t="inlineStr">
        <is>
          <t>JEFE PLANTA JABONERIA</t>
        </is>
      </c>
    </row>
    <row r="114">
      <c r="A114" s="9" t="n">
        <v>110</v>
      </c>
      <c r="B114" s="10" t="inlineStr">
        <is>
          <t>DIRECCION TECNICO-PRODUCTIVA</t>
        </is>
      </c>
      <c r="C114" s="9" t="inlineStr">
        <is>
          <t>DTP-50</t>
        </is>
      </c>
      <c r="D114" s="10" t="inlineStr">
        <is>
          <t>EXTRACTOR DE AIRE</t>
        </is>
      </c>
      <c r="E114" s="10" t="inlineStr">
        <is>
          <t>EQUIPOS DE CLIMATIZACION Y REFRIGERACION</t>
        </is>
      </c>
      <c r="F114" s="9" t="inlineStr">
        <is>
          <t>SERVICIO</t>
        </is>
      </c>
      <c r="G114" s="10" t="inlineStr">
        <is>
          <t>PLANTA JABONERIA</t>
        </is>
      </c>
      <c r="H114" s="10" t="inlineStr">
        <is>
          <t>Soler &amp; Palau</t>
        </is>
      </c>
      <c r="I114" s="10" t="inlineStr">
        <is>
          <t>HXBR-400 Industrial</t>
        </is>
      </c>
      <c r="J114" s="9" t="inlineStr">
        <is>
          <t>SN-DTP50-8899</t>
        </is>
      </c>
      <c r="K114" s="11" t="n">
        <v>43975</v>
      </c>
      <c r="L114" s="12" t="n">
        <v>1290000</v>
      </c>
      <c r="M114" s="10" t="inlineStr">
        <is>
          <t>JEFE PLANTA JABONERIA</t>
        </is>
      </c>
    </row>
    <row r="115">
      <c r="A115" s="13" t="n">
        <v>111</v>
      </c>
      <c r="B115" s="14" t="inlineStr">
        <is>
          <t>DIRECCION TECNICO-PRODUCTIVA</t>
        </is>
      </c>
      <c r="C115" s="13" t="inlineStr">
        <is>
          <t>DTP-51</t>
        </is>
      </c>
      <c r="D115" s="14" t="inlineStr">
        <is>
          <t>EXTRACTOR DE AIRE</t>
        </is>
      </c>
      <c r="E115" s="14" t="inlineStr">
        <is>
          <t>EQUIPOS DE CLIMATIZACION Y REFRIGERACION</t>
        </is>
      </c>
      <c r="F115" s="13" t="inlineStr">
        <is>
          <t>SERVICIO</t>
        </is>
      </c>
      <c r="G115" s="14" t="inlineStr">
        <is>
          <t>PLANTA JABONERIA</t>
        </is>
      </c>
      <c r="H115" s="14" t="inlineStr">
        <is>
          <t>Soler &amp; Palau</t>
        </is>
      </c>
      <c r="I115" s="14" t="inlineStr">
        <is>
          <t>HXBR-400 Industrial</t>
        </is>
      </c>
      <c r="J115" s="13" t="inlineStr">
        <is>
          <t>SN-DTP51-9036</t>
        </is>
      </c>
      <c r="K115" s="15" t="n">
        <v>43979</v>
      </c>
      <c r="L115" s="16" t="n">
        <v>1290000</v>
      </c>
      <c r="M115" s="14" t="inlineStr">
        <is>
          <t>JEFE PLANTA JABONERIA</t>
        </is>
      </c>
    </row>
    <row r="116">
      <c r="A116" s="9" t="n">
        <v>112</v>
      </c>
      <c r="B116" s="10" t="inlineStr">
        <is>
          <t>DIRECCION TECNICO-PRODUCTIVA</t>
        </is>
      </c>
      <c r="C116" s="9" t="inlineStr">
        <is>
          <t>DTP-52</t>
        </is>
      </c>
      <c r="D116" s="10" t="inlineStr">
        <is>
          <t>1 COMPRESOR 5 TON.</t>
        </is>
      </c>
      <c r="E116" s="10" t="inlineStr">
        <is>
          <t>TECNOLOGIA</t>
        </is>
      </c>
      <c r="F116" s="9" t="inlineStr">
        <is>
          <t>SERVICIO</t>
        </is>
      </c>
      <c r="G116" s="10" t="inlineStr">
        <is>
          <t>PLANTA JABONERIA</t>
        </is>
      </c>
      <c r="H116" s="10" t="inlineStr">
        <is>
          <t>Bitzer</t>
        </is>
      </c>
      <c r="I116" s="10" t="inlineStr">
        <is>
          <t>4VES-10Y (5 TR)</t>
        </is>
      </c>
      <c r="J116" s="9" t="inlineStr">
        <is>
          <t>SN-DTP52-9173</t>
        </is>
      </c>
      <c r="K116" s="11" t="n">
        <v>43970</v>
      </c>
      <c r="L116" s="12" t="n">
        <v>9800000</v>
      </c>
      <c r="M116" s="10" t="inlineStr">
        <is>
          <t>JEFE PLANTA JABONERIA</t>
        </is>
      </c>
    </row>
    <row r="117">
      <c r="A117" s="13" t="n">
        <v>113</v>
      </c>
      <c r="B117" s="14" t="inlineStr">
        <is>
          <t>DIRECCION TECNICO-PRODUCTIVA</t>
        </is>
      </c>
      <c r="C117" s="13" t="inlineStr">
        <is>
          <t>DTP-53</t>
        </is>
      </c>
      <c r="D117" s="14" t="inlineStr">
        <is>
          <t>1 CHILLER PROCESO</t>
        </is>
      </c>
      <c r="E117" s="14" t="inlineStr">
        <is>
          <t>TECNOLOGIA</t>
        </is>
      </c>
      <c r="F117" s="13" t="inlineStr">
        <is>
          <t>SERVICIO</t>
        </is>
      </c>
      <c r="G117" s="14" t="inlineStr">
        <is>
          <t>PLANTA JABONERIA</t>
        </is>
      </c>
      <c r="H117" s="14" t="inlineStr">
        <is>
          <t>Carrier</t>
        </is>
      </c>
      <c r="I117" s="14" t="inlineStr">
        <is>
          <t>AquaSnap 30RB-080</t>
        </is>
      </c>
      <c r="J117" s="13" t="inlineStr">
        <is>
          <t>SN-DTP53-9310</t>
        </is>
      </c>
      <c r="K117" s="15" t="n">
        <v>43975</v>
      </c>
      <c r="L117" s="16" t="n">
        <v>24500000</v>
      </c>
      <c r="M117" s="14" t="inlineStr">
        <is>
          <t>JEFE PLANTA JABONERIA</t>
        </is>
      </c>
    </row>
    <row r="118">
      <c r="A118" s="9" t="n">
        <v>114</v>
      </c>
      <c r="B118" s="10" t="inlineStr">
        <is>
          <t>DIRECCION TECNICO-PRODUCTIVA</t>
        </is>
      </c>
      <c r="C118" s="9" t="inlineStr">
        <is>
          <t>DTP-54</t>
        </is>
      </c>
      <c r="D118" s="10" t="inlineStr">
        <is>
          <t>MESA BURO/ 4 GAVETAS</t>
        </is>
      </c>
      <c r="E118" s="10" t="inlineStr">
        <is>
          <t>MOBILIARIO</t>
        </is>
      </c>
      <c r="F118" s="9" t="inlineStr">
        <is>
          <t>SERVICIO</t>
        </is>
      </c>
      <c r="G118" s="10" t="inlineStr">
        <is>
          <t>PLANTA PERFUMERIA</t>
        </is>
      </c>
      <c r="H118" s="10" t="inlineStr">
        <is>
          <t>Rosen</t>
        </is>
      </c>
      <c r="I118" s="10" t="inlineStr">
        <is>
          <t>Buro Ejecutivo BR-4G120</t>
        </is>
      </c>
      <c r="J118" s="9" t="inlineStr">
        <is>
          <t>SN-DTP54-9447</t>
        </is>
      </c>
      <c r="K118" s="11" t="n">
        <v>44120</v>
      </c>
      <c r="L118" s="12" t="n">
        <v>189900</v>
      </c>
      <c r="M118" s="10" t="inlineStr">
        <is>
          <t>JEFE PLANTA PERFUMERIA</t>
        </is>
      </c>
    </row>
    <row r="119">
      <c r="A119" s="13" t="n">
        <v>115</v>
      </c>
      <c r="B119" s="14" t="inlineStr">
        <is>
          <t>DIRECCION TECNICO-PRODUCTIVA</t>
        </is>
      </c>
      <c r="C119" s="13" t="inlineStr">
        <is>
          <t>DTP-55</t>
        </is>
      </c>
      <c r="D119" s="14" t="inlineStr">
        <is>
          <t>MESA BURO/ 4 GAVETAS</t>
        </is>
      </c>
      <c r="E119" s="14" t="inlineStr">
        <is>
          <t>MOBILIARIO</t>
        </is>
      </c>
      <c r="F119" s="18" t="inlineStr">
        <is>
          <t>SERVICIO</t>
        </is>
      </c>
      <c r="G119" s="14" t="inlineStr">
        <is>
          <t>PLANTA PERFUMERIA</t>
        </is>
      </c>
      <c r="H119" s="14" t="inlineStr">
        <is>
          <t>Rosen</t>
        </is>
      </c>
      <c r="I119" s="14" t="inlineStr">
        <is>
          <t>Buro Ejecutivo BR-4G120</t>
        </is>
      </c>
      <c r="J119" s="13" t="inlineStr">
        <is>
          <t>SN-DTP55-9584</t>
        </is>
      </c>
      <c r="K119" s="15" t="n">
        <v>44110</v>
      </c>
      <c r="L119" s="16" t="n">
        <v>189900</v>
      </c>
      <c r="M119" s="14" t="inlineStr">
        <is>
          <t>JEFE PLANTA PERFUMERIA</t>
        </is>
      </c>
    </row>
    <row r="120">
      <c r="A120" s="9" t="n">
        <v>116</v>
      </c>
      <c r="B120" s="10" t="inlineStr">
        <is>
          <t>DIRECCION TECNICO-PRODUCTIVA</t>
        </is>
      </c>
      <c r="C120" s="9" t="inlineStr">
        <is>
          <t>DTP-56</t>
        </is>
      </c>
      <c r="D120" s="10" t="inlineStr">
        <is>
          <t>SILLA GIRATORIA</t>
        </is>
      </c>
      <c r="E120" s="10" t="inlineStr">
        <is>
          <t>MOBILIARIO</t>
        </is>
      </c>
      <c r="F120" s="9" t="inlineStr">
        <is>
          <t>SERVICIO</t>
        </is>
      </c>
      <c r="G120" s="10" t="inlineStr">
        <is>
          <t>PLANTA PERFUMERIA</t>
        </is>
      </c>
      <c r="H120" s="10" t="inlineStr">
        <is>
          <t>Ergosillas</t>
        </is>
      </c>
      <c r="I120" s="10" t="inlineStr">
        <is>
          <t>Pro Ergo 120</t>
        </is>
      </c>
      <c r="J120" s="9" t="inlineStr">
        <is>
          <t>SN-DTP56-9721</t>
        </is>
      </c>
      <c r="K120" s="11" t="n">
        <v>44115</v>
      </c>
      <c r="L120" s="12" t="n">
        <v>109900</v>
      </c>
      <c r="M120" s="10" t="inlineStr">
        <is>
          <t>JEFE PLANTA PERFUMERIA</t>
        </is>
      </c>
    </row>
    <row r="121">
      <c r="A121" s="13" t="n">
        <v>117</v>
      </c>
      <c r="B121" s="14" t="inlineStr">
        <is>
          <t>DIRECCION TECNICO-PRODUCTIVA</t>
        </is>
      </c>
      <c r="C121" s="13" t="inlineStr">
        <is>
          <t>DTP-57</t>
        </is>
      </c>
      <c r="D121" s="14" t="inlineStr">
        <is>
          <t>SILLA GIRATORIA</t>
        </is>
      </c>
      <c r="E121" s="14" t="inlineStr">
        <is>
          <t>MOBILIARIO</t>
        </is>
      </c>
      <c r="F121" s="18" t="inlineStr">
        <is>
          <t>SERVICIO</t>
        </is>
      </c>
      <c r="G121" s="14" t="inlineStr">
        <is>
          <t>PLANTA PERFUMERIA</t>
        </is>
      </c>
      <c r="H121" s="14" t="inlineStr">
        <is>
          <t>Ergosillas</t>
        </is>
      </c>
      <c r="I121" s="14" t="inlineStr">
        <is>
          <t>Pro Ergo 120</t>
        </is>
      </c>
      <c r="J121" s="13" t="inlineStr">
        <is>
          <t>SN-DTP57-9858</t>
        </is>
      </c>
      <c r="K121" s="15" t="n">
        <v>44120</v>
      </c>
      <c r="L121" s="16" t="n">
        <v>109900</v>
      </c>
      <c r="M121" s="14" t="inlineStr">
        <is>
          <t>JEFE PLANTA PERFUMERIA</t>
        </is>
      </c>
    </row>
    <row r="122">
      <c r="A122" s="9" t="n">
        <v>118</v>
      </c>
      <c r="B122" s="10" t="inlineStr">
        <is>
          <t>DIRECCION TECNICO-PRODUCTIVA</t>
        </is>
      </c>
      <c r="C122" s="9" t="inlineStr">
        <is>
          <t>DTP-58</t>
        </is>
      </c>
      <c r="D122" s="10" t="inlineStr">
        <is>
          <t>VENTILADOR</t>
        </is>
      </c>
      <c r="E122" s="10" t="inlineStr">
        <is>
          <t>EQUIPOS DE CLIMATIZACION Y REFRIGERACION</t>
        </is>
      </c>
      <c r="F122" s="9" t="inlineStr">
        <is>
          <t>SERVICIO</t>
        </is>
      </c>
      <c r="G122" s="10" t="inlineStr">
        <is>
          <t>PLANTA PERFUMERIA</t>
        </is>
      </c>
      <c r="H122" s="10" t="inlineStr">
        <is>
          <t>Recco</t>
        </is>
      </c>
      <c r="I122" s="10" t="inlineStr">
        <is>
          <t>RVP-45PM Pedestal</t>
        </is>
      </c>
      <c r="J122" s="9" t="inlineStr">
        <is>
          <t>SN-DTP58-9995</t>
        </is>
      </c>
      <c r="K122" s="11" t="n">
        <v>44110</v>
      </c>
      <c r="L122" s="12" t="n">
        <v>39990</v>
      </c>
      <c r="M122" s="10" t="inlineStr">
        <is>
          <t>JEFE PLANTA PERFUMERIA</t>
        </is>
      </c>
    </row>
    <row r="123">
      <c r="A123" s="13" t="n">
        <v>119</v>
      </c>
      <c r="B123" s="14" t="inlineStr">
        <is>
          <t>DIRECCION TECNICO-PRODUCTIVA</t>
        </is>
      </c>
      <c r="C123" s="13" t="inlineStr">
        <is>
          <t>DTP-59</t>
        </is>
      </c>
      <c r="D123" s="14" t="inlineStr">
        <is>
          <t>VENTILADOR</t>
        </is>
      </c>
      <c r="E123" s="14" t="inlineStr">
        <is>
          <t>EQUIPOS DE CLIMATIZACION Y REFRIGERACION</t>
        </is>
      </c>
      <c r="F123" s="13" t="inlineStr">
        <is>
          <t>SERVICIO</t>
        </is>
      </c>
      <c r="G123" s="14" t="inlineStr">
        <is>
          <t>PLANTA PERFUMERIA</t>
        </is>
      </c>
      <c r="H123" s="14" t="inlineStr">
        <is>
          <t>Recco</t>
        </is>
      </c>
      <c r="I123" s="14" t="inlineStr">
        <is>
          <t>RVP-45PM Pedestal</t>
        </is>
      </c>
      <c r="J123" s="13" t="inlineStr">
        <is>
          <t>SN-DTP59-1132</t>
        </is>
      </c>
      <c r="K123" s="15" t="n">
        <v>44115</v>
      </c>
      <c r="L123" s="16" t="n">
        <v>39990</v>
      </c>
      <c r="M123" s="14" t="inlineStr">
        <is>
          <t>JEFE PLANTA PERFUMERIA</t>
        </is>
      </c>
    </row>
    <row r="124">
      <c r="A124" s="9" t="n">
        <v>120</v>
      </c>
      <c r="B124" s="10" t="inlineStr">
        <is>
          <t>DIRECCION TECNICO-PRODUCTIVA</t>
        </is>
      </c>
      <c r="C124" s="9" t="inlineStr">
        <is>
          <t>DTP-60</t>
        </is>
      </c>
      <c r="D124" s="10" t="inlineStr">
        <is>
          <t>PC ESCRITORIO</t>
        </is>
      </c>
      <c r="E124" s="10" t="inlineStr">
        <is>
          <t>INFORMATICA</t>
        </is>
      </c>
      <c r="F124" s="9" t="inlineStr">
        <is>
          <t>SERVICIO</t>
        </is>
      </c>
      <c r="G124" s="10" t="inlineStr">
        <is>
          <t>PLANTA PERFUMERIA</t>
        </is>
      </c>
      <c r="H124" s="10" t="inlineStr">
        <is>
          <t>HP</t>
        </is>
      </c>
      <c r="I124" s="10" t="inlineStr">
        <is>
          <t>ProDesk 400 G9 SFF</t>
        </is>
      </c>
      <c r="J124" s="9" t="inlineStr">
        <is>
          <t>SN-DTP60-1269</t>
        </is>
      </c>
      <c r="K124" s="11" t="n">
        <v>44120</v>
      </c>
      <c r="L124" s="12" t="n">
        <v>549900</v>
      </c>
      <c r="M124" s="10" t="inlineStr">
        <is>
          <t>JEFE PLANTA PERFUMERIA</t>
        </is>
      </c>
    </row>
    <row r="125">
      <c r="A125" s="13" t="n">
        <v>121</v>
      </c>
      <c r="B125" s="14" t="inlineStr">
        <is>
          <t>DIRECCION TECNICO-PRODUCTIVA</t>
        </is>
      </c>
      <c r="C125" s="13" t="inlineStr">
        <is>
          <t>DTP-61</t>
        </is>
      </c>
      <c r="D125" s="14" t="inlineStr">
        <is>
          <t>PC ESCRITORIO</t>
        </is>
      </c>
      <c r="E125" s="14" t="inlineStr">
        <is>
          <t>INFORMATICA</t>
        </is>
      </c>
      <c r="F125" s="18" t="inlineStr">
        <is>
          <t>SERVICIO</t>
        </is>
      </c>
      <c r="G125" s="14" t="inlineStr">
        <is>
          <t>PLANTA PERFUMERIA</t>
        </is>
      </c>
      <c r="H125" s="14" t="inlineStr">
        <is>
          <t>HP</t>
        </is>
      </c>
      <c r="I125" s="14" t="inlineStr">
        <is>
          <t>ProDesk 400 G9 SFF</t>
        </is>
      </c>
      <c r="J125" s="13" t="inlineStr">
        <is>
          <t>SN-DTP61-1406</t>
        </is>
      </c>
      <c r="K125" s="15" t="n">
        <v>44110</v>
      </c>
      <c r="L125" s="16" t="n">
        <v>549900</v>
      </c>
      <c r="M125" s="14" t="inlineStr">
        <is>
          <t>JEFE PLANTA PERFUMERIA</t>
        </is>
      </c>
    </row>
    <row r="126">
      <c r="A126" s="9" t="n">
        <v>122</v>
      </c>
      <c r="B126" s="10" t="inlineStr">
        <is>
          <t>DIRECCION TECNICO-PRODUCTIVA</t>
        </is>
      </c>
      <c r="C126" s="9" t="inlineStr">
        <is>
          <t>DTP-62</t>
        </is>
      </c>
      <c r="D126" s="10" t="inlineStr">
        <is>
          <t>1 IMPRESORA</t>
        </is>
      </c>
      <c r="E126" s="10" t="inlineStr">
        <is>
          <t>INFORMATICA</t>
        </is>
      </c>
      <c r="F126" s="9" t="inlineStr">
        <is>
          <t>SERVICIO</t>
        </is>
      </c>
      <c r="G126" s="10" t="inlineStr">
        <is>
          <t>PLANTA PERFUMERIA</t>
        </is>
      </c>
      <c r="H126" s="10" t="inlineStr">
        <is>
          <t>Epson</t>
        </is>
      </c>
      <c r="I126" s="10" t="inlineStr">
        <is>
          <t>EcoTank L3250</t>
        </is>
      </c>
      <c r="J126" s="9" t="inlineStr">
        <is>
          <t>SN-DTP62-1543</t>
        </is>
      </c>
      <c r="K126" s="11" t="n">
        <v>44115</v>
      </c>
      <c r="L126" s="12" t="n">
        <v>179900</v>
      </c>
      <c r="M126" s="10" t="inlineStr">
        <is>
          <t>JEFE PLANTA PERFUMERIA</t>
        </is>
      </c>
    </row>
    <row r="127">
      <c r="A127" s="13" t="n">
        <v>123</v>
      </c>
      <c r="B127" s="14" t="inlineStr">
        <is>
          <t>DIRECCION TECNICO-PRODUCTIVA</t>
        </is>
      </c>
      <c r="C127" s="13" t="inlineStr">
        <is>
          <t>DTP-63</t>
        </is>
      </c>
      <c r="D127" s="14" t="inlineStr">
        <is>
          <t>1 LINEA DE PASTA DENTAL</t>
        </is>
      </c>
      <c r="E127" s="14" t="inlineStr">
        <is>
          <t>TECNOLOGIA</t>
        </is>
      </c>
      <c r="F127" s="13" t="inlineStr">
        <is>
          <t>SERVICIO</t>
        </is>
      </c>
      <c r="G127" s="14" t="inlineStr">
        <is>
          <t>PLANTA PERFUMERIA</t>
        </is>
      </c>
      <c r="H127" s="14" t="inlineStr">
        <is>
          <t>IWK</t>
        </is>
      </c>
      <c r="I127" s="14" t="inlineStr">
        <is>
          <t>TFS 20 Tubos/min</t>
        </is>
      </c>
      <c r="J127" s="13" t="inlineStr">
        <is>
          <t>SN-DTP63-1680</t>
        </is>
      </c>
      <c r="K127" s="15" t="n">
        <v>44120</v>
      </c>
      <c r="L127" s="16" t="n">
        <v>96500000</v>
      </c>
      <c r="M127" s="14" t="inlineStr">
        <is>
          <t>JEFE PLANTA PERFUMERIA</t>
        </is>
      </c>
    </row>
    <row r="128">
      <c r="A128" s="9" t="n">
        <v>124</v>
      </c>
      <c r="B128" s="10" t="inlineStr">
        <is>
          <t>DIRECCION TECNICO-PRODUCTIVA</t>
        </is>
      </c>
      <c r="C128" s="9" t="inlineStr">
        <is>
          <t>DTP-64</t>
        </is>
      </c>
      <c r="D128" s="10" t="inlineStr">
        <is>
          <t>1 LINEA DE DESODORANTE</t>
        </is>
      </c>
      <c r="E128" s="10" t="inlineStr">
        <is>
          <t>TECNOLOGIA</t>
        </is>
      </c>
      <c r="F128" s="9" t="inlineStr">
        <is>
          <t>SERVICIO</t>
        </is>
      </c>
      <c r="G128" s="10" t="inlineStr">
        <is>
          <t>PLANTA PERFUMERIA</t>
        </is>
      </c>
      <c r="H128" s="10" t="inlineStr">
        <is>
          <t>Marchesini</t>
        </is>
      </c>
      <c r="I128" s="10" t="inlineStr">
        <is>
          <t>ML-45 Roll-On</t>
        </is>
      </c>
      <c r="J128" s="9" t="inlineStr">
        <is>
          <t>SN-DTP64-1817</t>
        </is>
      </c>
      <c r="K128" s="11" t="n">
        <v>44110</v>
      </c>
      <c r="L128" s="12" t="n">
        <v>78400000</v>
      </c>
      <c r="M128" s="10" t="inlineStr">
        <is>
          <t>JEFE PLANTA PERFUMERIA</t>
        </is>
      </c>
    </row>
    <row r="129">
      <c r="A129" s="13" t="n">
        <v>125</v>
      </c>
      <c r="B129" s="14" t="inlineStr">
        <is>
          <t>DIRECCION TECNICO-PRODUCTIVA</t>
        </is>
      </c>
      <c r="C129" s="13" t="inlineStr">
        <is>
          <t>DTP-65</t>
        </is>
      </c>
      <c r="D129" s="14" t="inlineStr">
        <is>
          <t>1 LINEA DE PERFUMES</t>
        </is>
      </c>
      <c r="E129" s="14" t="inlineStr">
        <is>
          <t>TECNOLOGIA</t>
        </is>
      </c>
      <c r="F129" s="13" t="inlineStr">
        <is>
          <t>SERVICIO</t>
        </is>
      </c>
      <c r="G129" s="14" t="inlineStr">
        <is>
          <t>PLANTA PERFUMERIA</t>
        </is>
      </c>
      <c r="H129" s="14" t="inlineStr">
        <is>
          <t>Marchesini</t>
        </is>
      </c>
      <c r="I129" s="14" t="inlineStr">
        <is>
          <t>Integra 320</t>
        </is>
      </c>
      <c r="J129" s="13" t="inlineStr">
        <is>
          <t>SN-DTP65-1954</t>
        </is>
      </c>
      <c r="K129" s="15" t="n">
        <v>44115</v>
      </c>
      <c r="L129" s="16" t="n">
        <v>112000000</v>
      </c>
      <c r="M129" s="14" t="inlineStr">
        <is>
          <t>JEFE PLANTA PERFUMERIA</t>
        </is>
      </c>
    </row>
    <row r="130">
      <c r="A130" s="9" t="n">
        <v>126</v>
      </c>
      <c r="B130" s="10" t="inlineStr">
        <is>
          <t>DIRECCION TECNICO-PRODUCTIVA</t>
        </is>
      </c>
      <c r="C130" s="9" t="inlineStr">
        <is>
          <t>DTP-66</t>
        </is>
      </c>
      <c r="D130" s="10" t="inlineStr">
        <is>
          <t>1 LINEA DE CHAMPU</t>
        </is>
      </c>
      <c r="E130" s="10" t="inlineStr">
        <is>
          <t>TECNOLOGIA</t>
        </is>
      </c>
      <c r="F130" s="9" t="inlineStr">
        <is>
          <t>SERVICIO</t>
        </is>
      </c>
      <c r="G130" s="10" t="inlineStr">
        <is>
          <t>PLANTA PERFUMERIA</t>
        </is>
      </c>
      <c r="H130" s="10" t="inlineStr">
        <is>
          <t>Krones</t>
        </is>
      </c>
      <c r="I130" s="10" t="inlineStr">
        <is>
          <t>Ergobloc L-8</t>
        </is>
      </c>
      <c r="J130" s="9" t="inlineStr">
        <is>
          <t>SN-DTP66-2091</t>
        </is>
      </c>
      <c r="K130" s="11" t="n">
        <v>44120</v>
      </c>
      <c r="L130" s="12" t="n">
        <v>88000000</v>
      </c>
      <c r="M130" s="10" t="inlineStr">
        <is>
          <t>JEFE PLANTA PERFUMERIA</t>
        </is>
      </c>
    </row>
    <row r="131">
      <c r="A131" s="13" t="n">
        <v>127</v>
      </c>
      <c r="B131" s="14" t="inlineStr">
        <is>
          <t>DIRECCION TECNICO-PRODUCTIVA</t>
        </is>
      </c>
      <c r="C131" s="13" t="inlineStr">
        <is>
          <t>DTP-67</t>
        </is>
      </c>
      <c r="D131" s="14" t="inlineStr">
        <is>
          <t>1 LINEA DE ACONDICIONADOR</t>
        </is>
      </c>
      <c r="E131" s="14" t="inlineStr">
        <is>
          <t>TECNOLOGIA</t>
        </is>
      </c>
      <c r="F131" s="13" t="inlineStr">
        <is>
          <t>SERVICIO</t>
        </is>
      </c>
      <c r="G131" s="14" t="inlineStr">
        <is>
          <t>PLANTA PERFUMERIA</t>
        </is>
      </c>
      <c r="H131" s="14" t="inlineStr">
        <is>
          <t>Krones</t>
        </is>
      </c>
      <c r="I131" s="14" t="inlineStr">
        <is>
          <t>Ergobloc L-6</t>
        </is>
      </c>
      <c r="J131" s="13" t="inlineStr">
        <is>
          <t>SN-DTP67-2228</t>
        </is>
      </c>
      <c r="K131" s="15" t="n">
        <v>44110</v>
      </c>
      <c r="L131" s="16" t="n">
        <v>88000000</v>
      </c>
      <c r="M131" s="14" t="inlineStr">
        <is>
          <t>JEFE PLANTA PERFUMERIA</t>
        </is>
      </c>
    </row>
    <row r="132">
      <c r="A132" s="9" t="n">
        <v>128</v>
      </c>
      <c r="B132" s="10" t="inlineStr">
        <is>
          <t>DIRECCION TECNICO-PRODUCTIVA</t>
        </is>
      </c>
      <c r="C132" s="9" t="inlineStr">
        <is>
          <t>DTP-68</t>
        </is>
      </c>
      <c r="D132" s="10" t="inlineStr">
        <is>
          <t>EXTRACTOR DE AIRE</t>
        </is>
      </c>
      <c r="E132" s="10" t="inlineStr">
        <is>
          <t>EQUIPOS DE CLIMATIZACION Y REFRIGERACION</t>
        </is>
      </c>
      <c r="F132" s="9" t="inlineStr">
        <is>
          <t>SERVICIO</t>
        </is>
      </c>
      <c r="G132" s="10" t="inlineStr">
        <is>
          <t>PLANTA PERFUMERIA</t>
        </is>
      </c>
      <c r="H132" s="10" t="inlineStr">
        <is>
          <t>Soler &amp; Palau</t>
        </is>
      </c>
      <c r="I132" s="10" t="inlineStr">
        <is>
          <t>HXBR-400 Industrial</t>
        </is>
      </c>
      <c r="J132" s="9" t="inlineStr">
        <is>
          <t>SN-DTP68-2365</t>
        </is>
      </c>
      <c r="K132" s="11" t="n">
        <v>44115</v>
      </c>
      <c r="L132" s="12" t="n">
        <v>1290000</v>
      </c>
      <c r="M132" s="10" t="inlineStr">
        <is>
          <t>JEFE PLANTA PERFUMERIA</t>
        </is>
      </c>
    </row>
    <row r="133">
      <c r="A133" s="13" t="n">
        <v>129</v>
      </c>
      <c r="B133" s="14" t="inlineStr">
        <is>
          <t>DIRECCION TECNICO-PRODUCTIVA</t>
        </is>
      </c>
      <c r="C133" s="13" t="inlineStr">
        <is>
          <t>DTP-69</t>
        </is>
      </c>
      <c r="D133" s="14" t="inlineStr">
        <is>
          <t>EXTRACTOR DE AIRE</t>
        </is>
      </c>
      <c r="E133" s="14" t="inlineStr">
        <is>
          <t>EQUIPOS DE CLIMATIZACION Y REFRIGERACION</t>
        </is>
      </c>
      <c r="F133" s="13" t="inlineStr">
        <is>
          <t>SERVICIO</t>
        </is>
      </c>
      <c r="G133" s="14" t="inlineStr">
        <is>
          <t>PLANTA PERFUMERIA</t>
        </is>
      </c>
      <c r="H133" s="14" t="inlineStr">
        <is>
          <t>Soler &amp; Palau</t>
        </is>
      </c>
      <c r="I133" s="14" t="inlineStr">
        <is>
          <t>HXBR-400 Industrial</t>
        </is>
      </c>
      <c r="J133" s="13" t="inlineStr">
        <is>
          <t>SN-DTP69-2502</t>
        </is>
      </c>
      <c r="K133" s="15" t="n">
        <v>44120</v>
      </c>
      <c r="L133" s="16" t="n">
        <v>1290000</v>
      </c>
      <c r="M133" s="14" t="inlineStr">
        <is>
          <t>JEFE PLANTA PERFUMERIA</t>
        </is>
      </c>
    </row>
    <row r="134">
      <c r="A134" s="9" t="n">
        <v>130</v>
      </c>
      <c r="B134" s="10" t="inlineStr">
        <is>
          <t>DIRECCION TECNICO-PRODUCTIVA</t>
        </is>
      </c>
      <c r="C134" s="9" t="inlineStr">
        <is>
          <t>DTP-70</t>
        </is>
      </c>
      <c r="D134" s="10" t="inlineStr">
        <is>
          <t>EXTRACTOR DE AIRE</t>
        </is>
      </c>
      <c r="E134" s="10" t="inlineStr">
        <is>
          <t>EQUIPOS DE CLIMATIZACION Y REFRIGERACION</t>
        </is>
      </c>
      <c r="F134" s="17" t="inlineStr">
        <is>
          <t>MTTO</t>
        </is>
      </c>
      <c r="G134" s="10" t="inlineStr">
        <is>
          <t>PLANTA PERFUMERIA</t>
        </is>
      </c>
      <c r="H134" s="10" t="inlineStr">
        <is>
          <t>Soler &amp; Palau</t>
        </is>
      </c>
      <c r="I134" s="10" t="inlineStr">
        <is>
          <t>HXBR-400 Industrial</t>
        </is>
      </c>
      <c r="J134" s="9" t="inlineStr">
        <is>
          <t>SN-DTP70-2639</t>
        </is>
      </c>
      <c r="K134" s="11" t="n">
        <v>44110</v>
      </c>
      <c r="L134" s="12" t="n">
        <v>1290000</v>
      </c>
      <c r="M134" s="10" t="inlineStr">
        <is>
          <t>JEFE PLANTA PERFUMERIA</t>
        </is>
      </c>
    </row>
    <row r="135">
      <c r="A135" s="13" t="n">
        <v>131</v>
      </c>
      <c r="B135" s="14" t="inlineStr">
        <is>
          <t>DIRECCION TECNICO-PRODUCTIVA</t>
        </is>
      </c>
      <c r="C135" s="13" t="inlineStr">
        <is>
          <t>DTP-71</t>
        </is>
      </c>
      <c r="D135" s="14" t="inlineStr">
        <is>
          <t>EXTRACTOR DE AIRE</t>
        </is>
      </c>
      <c r="E135" s="14" t="inlineStr">
        <is>
          <t>EQUIPOS DE CLIMATIZACION Y REFRIGERACION</t>
        </is>
      </c>
      <c r="F135" s="17" t="inlineStr">
        <is>
          <t>MTTO</t>
        </is>
      </c>
      <c r="G135" s="14" t="inlineStr">
        <is>
          <t>PLANTA PERFUMERIA</t>
        </is>
      </c>
      <c r="H135" s="14" t="inlineStr">
        <is>
          <t>Soler &amp; Palau</t>
        </is>
      </c>
      <c r="I135" s="14" t="inlineStr">
        <is>
          <t>HXBR-400 Industrial</t>
        </is>
      </c>
      <c r="J135" s="13" t="inlineStr">
        <is>
          <t>SN-DTP71-2776</t>
        </is>
      </c>
      <c r="K135" s="15" t="n">
        <v>44115</v>
      </c>
      <c r="L135" s="16" t="n">
        <v>1290000</v>
      </c>
      <c r="M135" s="14" t="inlineStr">
        <is>
          <t>JEFE PLANTA PERFUMERIA</t>
        </is>
      </c>
    </row>
    <row r="136">
      <c r="A136" s="9" t="n">
        <v>132</v>
      </c>
      <c r="B136" s="10" t="inlineStr">
        <is>
          <t>DIRECCION TECNICO-PRODUCTIVA</t>
        </is>
      </c>
      <c r="C136" s="9" t="inlineStr">
        <is>
          <t>DTP-72</t>
        </is>
      </c>
      <c r="D136" s="10" t="inlineStr">
        <is>
          <t>EXTRACTOR DE AIRE</t>
        </is>
      </c>
      <c r="E136" s="10" t="inlineStr">
        <is>
          <t>EQUIPOS DE CLIMATIZACION Y REFRIGERACION</t>
        </is>
      </c>
      <c r="F136" s="9" t="inlineStr">
        <is>
          <t>SERVICIO</t>
        </is>
      </c>
      <c r="G136" s="10" t="inlineStr">
        <is>
          <t>PLANTA PERFUMERIA</t>
        </is>
      </c>
      <c r="H136" s="10" t="inlineStr">
        <is>
          <t>Soler &amp; Palau</t>
        </is>
      </c>
      <c r="I136" s="10" t="inlineStr">
        <is>
          <t>HXBR-400 Industrial</t>
        </is>
      </c>
      <c r="J136" s="9" t="inlineStr">
        <is>
          <t>SN-DTP72-2913</t>
        </is>
      </c>
      <c r="K136" s="11" t="n">
        <v>44120</v>
      </c>
      <c r="L136" s="12" t="n">
        <v>1290000</v>
      </c>
      <c r="M136" s="10" t="inlineStr">
        <is>
          <t>JEFE PLANTA PERFUMERIA</t>
        </is>
      </c>
    </row>
    <row r="137">
      <c r="A137" s="13" t="n">
        <v>133</v>
      </c>
      <c r="B137" s="14" t="inlineStr">
        <is>
          <t>DIRECCION TECNICO-PRODUCTIVA</t>
        </is>
      </c>
      <c r="C137" s="13" t="inlineStr">
        <is>
          <t>DTP-73</t>
        </is>
      </c>
      <c r="D137" s="14" t="inlineStr">
        <is>
          <t>EXTRACTOR DE AIRE</t>
        </is>
      </c>
      <c r="E137" s="14" t="inlineStr">
        <is>
          <t>EQUIPOS DE CLIMATIZACION Y REFRIGERACION</t>
        </is>
      </c>
      <c r="F137" s="13" t="inlineStr">
        <is>
          <t>SERVICIO</t>
        </is>
      </c>
      <c r="G137" s="14" t="inlineStr">
        <is>
          <t>PLANTA PERFUMERIA</t>
        </is>
      </c>
      <c r="H137" s="14" t="inlineStr">
        <is>
          <t>Soler &amp; Palau</t>
        </is>
      </c>
      <c r="I137" s="14" t="inlineStr">
        <is>
          <t>HXBR-400 Industrial</t>
        </is>
      </c>
      <c r="J137" s="13" t="inlineStr">
        <is>
          <t>SN-DTP73-3050</t>
        </is>
      </c>
      <c r="K137" s="15" t="n">
        <v>44110</v>
      </c>
      <c r="L137" s="16" t="n">
        <v>1290000</v>
      </c>
      <c r="M137" s="14" t="inlineStr">
        <is>
          <t>JEFE PLANTA PERFUMERIA</t>
        </is>
      </c>
    </row>
    <row r="138">
      <c r="A138" s="9" t="n">
        <v>134</v>
      </c>
      <c r="B138" s="10" t="inlineStr">
        <is>
          <t>DIRECCION TECNICO-PRODUCTIVA</t>
        </is>
      </c>
      <c r="C138" s="9" t="inlineStr">
        <is>
          <t>DTP-74</t>
        </is>
      </c>
      <c r="D138" s="10" t="inlineStr">
        <is>
          <t>EXTRACTOR DE AIRE</t>
        </is>
      </c>
      <c r="E138" s="10" t="inlineStr">
        <is>
          <t>EQUIPOS DE CLIMATIZACION Y REFRIGERACION</t>
        </is>
      </c>
      <c r="F138" s="9" t="inlineStr">
        <is>
          <t>SERVICIO</t>
        </is>
      </c>
      <c r="G138" s="10" t="inlineStr">
        <is>
          <t>PLANTA PERFUMERIA</t>
        </is>
      </c>
      <c r="H138" s="10" t="inlineStr">
        <is>
          <t>Soler &amp; Palau</t>
        </is>
      </c>
      <c r="I138" s="10" t="inlineStr">
        <is>
          <t>HXBR-400 Industrial</t>
        </is>
      </c>
      <c r="J138" s="9" t="inlineStr">
        <is>
          <t>SN-DTP74-3187</t>
        </is>
      </c>
      <c r="K138" s="11" t="n">
        <v>44115</v>
      </c>
      <c r="L138" s="12" t="n">
        <v>1290000</v>
      </c>
      <c r="M138" s="10" t="inlineStr">
        <is>
          <t>JEFE PLANTA PERFUMERIA</t>
        </is>
      </c>
    </row>
    <row r="139">
      <c r="A139" s="13" t="n">
        <v>135</v>
      </c>
      <c r="B139" s="14" t="inlineStr">
        <is>
          <t>DIRECCION TECNICO-PRODUCTIVA</t>
        </is>
      </c>
      <c r="C139" s="13" t="inlineStr">
        <is>
          <t>DTP-75</t>
        </is>
      </c>
      <c r="D139" s="14" t="inlineStr">
        <is>
          <t>EXTRACTOR DE AIRE</t>
        </is>
      </c>
      <c r="E139" s="14" t="inlineStr">
        <is>
          <t>EQUIPOS DE CLIMATIZACION Y REFRIGERACION</t>
        </is>
      </c>
      <c r="F139" s="13" t="inlineStr">
        <is>
          <t>SERVICIO</t>
        </is>
      </c>
      <c r="G139" s="14" t="inlineStr">
        <is>
          <t>PLANTA PERFUMERIA</t>
        </is>
      </c>
      <c r="H139" s="14" t="inlineStr">
        <is>
          <t>Soler &amp; Palau</t>
        </is>
      </c>
      <c r="I139" s="14" t="inlineStr">
        <is>
          <t>HXBR-400 Industrial</t>
        </is>
      </c>
      <c r="J139" s="13" t="inlineStr">
        <is>
          <t>SN-DTP75-3324</t>
        </is>
      </c>
      <c r="K139" s="15" t="n">
        <v>44120</v>
      </c>
      <c r="L139" s="16" t="n">
        <v>1290000</v>
      </c>
      <c r="M139" s="14" t="inlineStr">
        <is>
          <t>JEFE PLANTA PERFUMERIA</t>
        </is>
      </c>
    </row>
    <row r="140">
      <c r="A140" s="9" t="n">
        <v>136</v>
      </c>
      <c r="B140" s="10" t="inlineStr">
        <is>
          <t>DIRECCION TECNICO-PRODUCTIVA</t>
        </is>
      </c>
      <c r="C140" s="9" t="inlineStr">
        <is>
          <t>DTP-76</t>
        </is>
      </c>
      <c r="D140" s="10" t="inlineStr">
        <is>
          <t>1 COMPRESOR 5 TON.</t>
        </is>
      </c>
      <c r="E140" s="10" t="inlineStr">
        <is>
          <t>TECNOLOGIA</t>
        </is>
      </c>
      <c r="F140" s="20" t="inlineStr">
        <is>
          <t>BAJA</t>
        </is>
      </c>
      <c r="G140" s="10" t="inlineStr">
        <is>
          <t>PLANTA PERFUMERIA</t>
        </is>
      </c>
      <c r="H140" s="10" t="inlineStr">
        <is>
          <t>Bitzer</t>
        </is>
      </c>
      <c r="I140" s="10" t="inlineStr">
        <is>
          <t>4VES-10Y (5 TR)</t>
        </is>
      </c>
      <c r="J140" s="9" t="inlineStr">
        <is>
          <t>SN-DTP76-3461</t>
        </is>
      </c>
      <c r="K140" s="11" t="n">
        <v>44110</v>
      </c>
      <c r="L140" s="12" t="n">
        <v>9800000</v>
      </c>
      <c r="M140" s="10" t="inlineStr">
        <is>
          <t>JEFE PLANTA PERFUMERIA</t>
        </is>
      </c>
    </row>
    <row r="141">
      <c r="A141" s="13" t="n">
        <v>137</v>
      </c>
      <c r="B141" s="14" t="inlineStr">
        <is>
          <t>DIRECCION TECNICO-PRODUCTIVA</t>
        </is>
      </c>
      <c r="C141" s="13" t="inlineStr">
        <is>
          <t>DTP-77</t>
        </is>
      </c>
      <c r="D141" s="14" t="inlineStr">
        <is>
          <t>1 CHILLER PROCESO</t>
        </is>
      </c>
      <c r="E141" s="14" t="inlineStr">
        <is>
          <t>TECNOLOGIA</t>
        </is>
      </c>
      <c r="F141" s="17" t="inlineStr">
        <is>
          <t>MTTO</t>
        </is>
      </c>
      <c r="G141" s="14" t="inlineStr">
        <is>
          <t>PLANTA PERFUMERIA</t>
        </is>
      </c>
      <c r="H141" s="14" t="inlineStr">
        <is>
          <t>Carrier</t>
        </is>
      </c>
      <c r="I141" s="14" t="inlineStr">
        <is>
          <t>AquaSnap 30RB-080</t>
        </is>
      </c>
      <c r="J141" s="13" t="inlineStr">
        <is>
          <t>SN-DTP77-3598</t>
        </is>
      </c>
      <c r="K141" s="15" t="n">
        <v>44115</v>
      </c>
      <c r="L141" s="16" t="n">
        <v>24500000</v>
      </c>
      <c r="M141" s="14" t="inlineStr">
        <is>
          <t>JEFE PLANTA PERFUMERIA</t>
        </is>
      </c>
    </row>
    <row r="142">
      <c r="A142" s="21" t="n">
        <v>138</v>
      </c>
      <c r="B142" s="22" t="inlineStr">
        <is>
          <t>DIRECCION COMERCIAL</t>
        </is>
      </c>
      <c r="C142" s="21" t="inlineStr">
        <is>
          <t>DC-01</t>
        </is>
      </c>
      <c r="D142" s="22" t="inlineStr">
        <is>
          <t>1 EQUIPO CLIMATIZACION 12000 BTU</t>
        </is>
      </c>
      <c r="E142" s="22" t="inlineStr">
        <is>
          <t>EQUIPOS DE CLIMATIZACION Y REFRIGERACION</t>
        </is>
      </c>
      <c r="F142" s="21" t="inlineStr">
        <is>
          <t>SERVICIO</t>
        </is>
      </c>
      <c r="G142" s="22" t="inlineStr">
        <is>
          <t>OFICINA DIRECTOR COMERCIAL</t>
        </is>
      </c>
      <c r="H142" s="22" t="inlineStr">
        <is>
          <t>Midea</t>
        </is>
      </c>
      <c r="I142" s="22" t="inlineStr">
        <is>
          <t>Xtreme Save 12.000 BTU</t>
        </is>
      </c>
      <c r="J142" s="21" t="inlineStr">
        <is>
          <t>SN-DC01-2186</t>
        </is>
      </c>
      <c r="K142" s="23" t="n">
        <v>44327</v>
      </c>
      <c r="L142" s="24" t="n">
        <v>389900</v>
      </c>
      <c r="M142" s="22" t="inlineStr">
        <is>
          <t>DIRECTOR COMERCIAL</t>
        </is>
      </c>
    </row>
    <row r="143">
      <c r="A143" s="13" t="n">
        <v>139</v>
      </c>
      <c r="B143" s="14" t="inlineStr">
        <is>
          <t>DIRECCION COMERCIAL</t>
        </is>
      </c>
      <c r="C143" s="13" t="inlineStr">
        <is>
          <t>DC-02</t>
        </is>
      </c>
      <c r="D143" s="14" t="inlineStr">
        <is>
          <t>1 SOFA 3 PERSONAS</t>
        </is>
      </c>
      <c r="E143" s="14" t="inlineStr">
        <is>
          <t>MOBILIARIO</t>
        </is>
      </c>
      <c r="F143" s="13" t="inlineStr">
        <is>
          <t>SERVICIO</t>
        </is>
      </c>
      <c r="G143" s="14" t="inlineStr">
        <is>
          <t>OFICINA DIRECTOR COMERCIAL</t>
        </is>
      </c>
      <c r="H143" s="14" t="inlineStr">
        <is>
          <t>Rosen</t>
        </is>
      </c>
      <c r="I143" s="14" t="inlineStr">
        <is>
          <t>Milano 3 Cuerpos</t>
        </is>
      </c>
      <c r="J143" s="13" t="inlineStr">
        <is>
          <t>SN-DC02-2323</t>
        </is>
      </c>
      <c r="K143" s="15" t="n">
        <v>44332</v>
      </c>
      <c r="L143" s="16" t="n">
        <v>429900</v>
      </c>
      <c r="M143" s="14" t="inlineStr">
        <is>
          <t>DIRECTOR COMERCIAL</t>
        </is>
      </c>
    </row>
    <row r="144">
      <c r="A144" s="9" t="n">
        <v>140</v>
      </c>
      <c r="B144" s="10" t="inlineStr">
        <is>
          <t>DIRECCION COMERCIAL</t>
        </is>
      </c>
      <c r="C144" s="9" t="inlineStr">
        <is>
          <t>DC-03</t>
        </is>
      </c>
      <c r="D144" s="10" t="inlineStr">
        <is>
          <t>BUTACA CON BRAZOS</t>
        </is>
      </c>
      <c r="E144" s="10" t="inlineStr">
        <is>
          <t>MOBILIARIO</t>
        </is>
      </c>
      <c r="F144" s="9" t="inlineStr">
        <is>
          <t>SERVICIO</t>
        </is>
      </c>
      <c r="G144" s="10" t="inlineStr">
        <is>
          <t>OFICINA DIRECTOR COMERCIAL</t>
        </is>
      </c>
      <c r="H144" s="10" t="inlineStr">
        <is>
          <t>Mica</t>
        </is>
      </c>
      <c r="I144" s="10" t="inlineStr">
        <is>
          <t>Oslo con Brazos</t>
        </is>
      </c>
      <c r="J144" s="9" t="inlineStr">
        <is>
          <t>SN-DC03-2460</t>
        </is>
      </c>
      <c r="K144" s="11" t="n">
        <v>44337</v>
      </c>
      <c r="L144" s="12" t="n">
        <v>94990</v>
      </c>
      <c r="M144" s="10" t="inlineStr">
        <is>
          <t>DIRECTOR COMERCIAL</t>
        </is>
      </c>
    </row>
    <row r="145">
      <c r="A145" s="13" t="n">
        <v>141</v>
      </c>
      <c r="B145" s="14" t="inlineStr">
        <is>
          <t>DIRECCION COMERCIAL</t>
        </is>
      </c>
      <c r="C145" s="13" t="inlineStr">
        <is>
          <t>DC-04</t>
        </is>
      </c>
      <c r="D145" s="14" t="inlineStr">
        <is>
          <t>BUTACA CON BRAZOS</t>
        </is>
      </c>
      <c r="E145" s="14" t="inlineStr">
        <is>
          <t>MOBILIARIO</t>
        </is>
      </c>
      <c r="F145" s="13" t="inlineStr">
        <is>
          <t>SERVICIO</t>
        </is>
      </c>
      <c r="G145" s="14" t="inlineStr">
        <is>
          <t>OFICINA DIRECTOR COMERCIAL</t>
        </is>
      </c>
      <c r="H145" s="14" t="inlineStr">
        <is>
          <t>Mica</t>
        </is>
      </c>
      <c r="I145" s="14" t="inlineStr">
        <is>
          <t>Oslo con Brazos</t>
        </is>
      </c>
      <c r="J145" s="13" t="inlineStr">
        <is>
          <t>SN-DC04-2597</t>
        </is>
      </c>
      <c r="K145" s="15" t="n">
        <v>44327</v>
      </c>
      <c r="L145" s="16" t="n">
        <v>94990</v>
      </c>
      <c r="M145" s="14" t="inlineStr">
        <is>
          <t>DIRECTOR COMERCIAL</t>
        </is>
      </c>
    </row>
    <row r="146">
      <c r="A146" s="9" t="n">
        <v>142</v>
      </c>
      <c r="B146" s="10" t="inlineStr">
        <is>
          <t>DIRECCION COMERCIAL</t>
        </is>
      </c>
      <c r="C146" s="9" t="inlineStr">
        <is>
          <t>DC-05</t>
        </is>
      </c>
      <c r="D146" s="10" t="inlineStr">
        <is>
          <t>BUTACA CON BRAZOS</t>
        </is>
      </c>
      <c r="E146" s="10" t="inlineStr">
        <is>
          <t>MOBILIARIO</t>
        </is>
      </c>
      <c r="F146" s="9" t="inlineStr">
        <is>
          <t>SERVICIO</t>
        </is>
      </c>
      <c r="G146" s="10" t="inlineStr">
        <is>
          <t>OFICINA DIRECTOR COMERCIAL</t>
        </is>
      </c>
      <c r="H146" s="10" t="inlineStr">
        <is>
          <t>Mica</t>
        </is>
      </c>
      <c r="I146" s="10" t="inlineStr">
        <is>
          <t>Oslo con Brazos</t>
        </is>
      </c>
      <c r="J146" s="9" t="inlineStr">
        <is>
          <t>SN-DC05-2734</t>
        </is>
      </c>
      <c r="K146" s="11" t="n">
        <v>44332</v>
      </c>
      <c r="L146" s="12" t="n">
        <v>94990</v>
      </c>
      <c r="M146" s="10" t="inlineStr">
        <is>
          <t>DIRECTOR COMERCIAL</t>
        </is>
      </c>
    </row>
    <row r="147">
      <c r="A147" s="13" t="n">
        <v>143</v>
      </c>
      <c r="B147" s="14" t="inlineStr">
        <is>
          <t>DIRECCION COMERCIAL</t>
        </is>
      </c>
      <c r="C147" s="13" t="inlineStr">
        <is>
          <t>DC-06</t>
        </is>
      </c>
      <c r="D147" s="14" t="inlineStr">
        <is>
          <t>1 TV DIGITAL LG 45"</t>
        </is>
      </c>
      <c r="E147" s="14" t="inlineStr">
        <is>
          <t>MOBILIARIO</t>
        </is>
      </c>
      <c r="F147" s="13" t="inlineStr">
        <is>
          <t>SERVICIO</t>
        </is>
      </c>
      <c r="G147" s="14" t="inlineStr">
        <is>
          <t>OFICINA DIRECTOR COMERCIAL</t>
        </is>
      </c>
      <c r="H147" s="14" t="inlineStr">
        <is>
          <t>LG</t>
        </is>
      </c>
      <c r="I147" s="14" t="inlineStr">
        <is>
          <t>45UR7300 UHD</t>
        </is>
      </c>
      <c r="J147" s="13" t="inlineStr">
        <is>
          <t>SN-DC06-2871</t>
        </is>
      </c>
      <c r="K147" s="15" t="n">
        <v>44337</v>
      </c>
      <c r="L147" s="16" t="n">
        <v>329900</v>
      </c>
      <c r="M147" s="14" t="inlineStr">
        <is>
          <t>DIRECTOR COMERCIAL</t>
        </is>
      </c>
    </row>
    <row r="148">
      <c r="A148" s="9" t="n">
        <v>144</v>
      </c>
      <c r="B148" s="10" t="inlineStr">
        <is>
          <t>DIRECCION COMERCIAL</t>
        </is>
      </c>
      <c r="C148" s="9" t="inlineStr">
        <is>
          <t>DC-07</t>
        </is>
      </c>
      <c r="D148" s="10" t="inlineStr">
        <is>
          <t>1 LAPTOP</t>
        </is>
      </c>
      <c r="E148" s="10" t="inlineStr">
        <is>
          <t>INFORMATICA</t>
        </is>
      </c>
      <c r="F148" s="9" t="inlineStr">
        <is>
          <t>SERVICIO</t>
        </is>
      </c>
      <c r="G148" s="10" t="inlineStr">
        <is>
          <t>OFICINA DIRECTOR COMERCIAL</t>
        </is>
      </c>
      <c r="H148" s="10" t="inlineStr">
        <is>
          <t>Lenovo</t>
        </is>
      </c>
      <c r="I148" s="10" t="inlineStr">
        <is>
          <t>ThinkPad E14 Gen 5</t>
        </is>
      </c>
      <c r="J148" s="9" t="inlineStr">
        <is>
          <t>SN-DC07-3008</t>
        </is>
      </c>
      <c r="K148" s="11" t="n">
        <v>44327</v>
      </c>
      <c r="L148" s="12" t="n">
        <v>749900</v>
      </c>
      <c r="M148" s="10" t="inlineStr">
        <is>
          <t>DIRECTOR COMERCIAL</t>
        </is>
      </c>
    </row>
    <row r="149">
      <c r="A149" s="13" t="n">
        <v>145</v>
      </c>
      <c r="B149" s="14" t="inlineStr">
        <is>
          <t>DIRECCION COMERCIAL</t>
        </is>
      </c>
      <c r="C149" s="13" t="inlineStr">
        <is>
          <t>DC-08</t>
        </is>
      </c>
      <c r="D149" s="14" t="inlineStr">
        <is>
          <t>1 BURO</t>
        </is>
      </c>
      <c r="E149" s="14" t="inlineStr">
        <is>
          <t>MOBILIARIO</t>
        </is>
      </c>
      <c r="F149" s="13" t="inlineStr">
        <is>
          <t>SERVICIO</t>
        </is>
      </c>
      <c r="G149" s="14" t="inlineStr">
        <is>
          <t>OFICINA DIRECTOR COMERCIAL</t>
        </is>
      </c>
      <c r="H149" s="14" t="inlineStr">
        <is>
          <t>Rosen</t>
        </is>
      </c>
      <c r="I149" s="14" t="inlineStr">
        <is>
          <t>Buro Ejecutivo BR-120</t>
        </is>
      </c>
      <c r="J149" s="13" t="inlineStr">
        <is>
          <t>SN-DC08-3145</t>
        </is>
      </c>
      <c r="K149" s="15" t="n">
        <v>44332</v>
      </c>
      <c r="L149" s="16" t="n">
        <v>159900</v>
      </c>
      <c r="M149" s="14" t="inlineStr">
        <is>
          <t>DIRECTOR COMERCIAL</t>
        </is>
      </c>
    </row>
    <row r="150">
      <c r="A150" s="9" t="n">
        <v>146</v>
      </c>
      <c r="B150" s="10" t="inlineStr">
        <is>
          <t>DIRECCION COMERCIAL</t>
        </is>
      </c>
      <c r="C150" s="9" t="inlineStr">
        <is>
          <t>DC-09</t>
        </is>
      </c>
      <c r="D150" s="10" t="inlineStr">
        <is>
          <t>1 SILLA GIRATORIA</t>
        </is>
      </c>
      <c r="E150" s="10" t="inlineStr">
        <is>
          <t>MOBILIARIO</t>
        </is>
      </c>
      <c r="F150" s="9" t="inlineStr">
        <is>
          <t>SERVICIO</t>
        </is>
      </c>
      <c r="G150" s="10" t="inlineStr">
        <is>
          <t>OFICINA DIRECTOR COMERCIAL</t>
        </is>
      </c>
      <c r="H150" s="10" t="inlineStr">
        <is>
          <t>Ergosillas</t>
        </is>
      </c>
      <c r="I150" s="10" t="inlineStr">
        <is>
          <t>Pro Ergo 120</t>
        </is>
      </c>
      <c r="J150" s="9" t="inlineStr">
        <is>
          <t>SN-DC09-3282</t>
        </is>
      </c>
      <c r="K150" s="11" t="n">
        <v>44337</v>
      </c>
      <c r="L150" s="12" t="n">
        <v>109900</v>
      </c>
      <c r="M150" s="10" t="inlineStr">
        <is>
          <t>DIRECTOR COMERCIAL</t>
        </is>
      </c>
    </row>
    <row r="151">
      <c r="A151" s="13" t="n">
        <v>147</v>
      </c>
      <c r="B151" s="14" t="inlineStr">
        <is>
          <t>DIRECCION COMERCIAL</t>
        </is>
      </c>
      <c r="C151" s="13" t="inlineStr">
        <is>
          <t>DC-10</t>
        </is>
      </c>
      <c r="D151" s="14" t="inlineStr">
        <is>
          <t>1 CREDENZA METALICA</t>
        </is>
      </c>
      <c r="E151" s="14" t="inlineStr">
        <is>
          <t>MOBILIARIO</t>
        </is>
      </c>
      <c r="F151" s="13" t="inlineStr">
        <is>
          <t>SERVICIO</t>
        </is>
      </c>
      <c r="G151" s="14" t="inlineStr">
        <is>
          <t>OFICINA DIRECTOR COMERCIAL</t>
        </is>
      </c>
      <c r="H151" s="14" t="inlineStr">
        <is>
          <t>Dimeiggs</t>
        </is>
      </c>
      <c r="I151" s="14" t="inlineStr">
        <is>
          <t>Credenza Metalica CRD-2P</t>
        </is>
      </c>
      <c r="J151" s="13" t="inlineStr">
        <is>
          <t>SN-DC10-3419</t>
        </is>
      </c>
      <c r="K151" s="15" t="n">
        <v>44327</v>
      </c>
      <c r="L151" s="16" t="n">
        <v>189900</v>
      </c>
      <c r="M151" s="14" t="inlineStr">
        <is>
          <t>DIRECTOR COMERCIAL</t>
        </is>
      </c>
    </row>
    <row r="152">
      <c r="A152" s="9" t="n">
        <v>148</v>
      </c>
      <c r="B152" s="10" t="inlineStr">
        <is>
          <t>DIRECCION COMERCIAL</t>
        </is>
      </c>
      <c r="C152" s="9" t="inlineStr">
        <is>
          <t>DC-11</t>
        </is>
      </c>
      <c r="D152" s="10" t="inlineStr">
        <is>
          <t>1 IMPRESORA</t>
        </is>
      </c>
      <c r="E152" s="10" t="inlineStr">
        <is>
          <t>INFORMATICA</t>
        </is>
      </c>
      <c r="F152" s="9" t="inlineStr">
        <is>
          <t>SERVICIO</t>
        </is>
      </c>
      <c r="G152" s="10" t="inlineStr">
        <is>
          <t>OFICINA DIRECTOR COMERCIAL</t>
        </is>
      </c>
      <c r="H152" s="10" t="inlineStr">
        <is>
          <t>Epson</t>
        </is>
      </c>
      <c r="I152" s="10" t="inlineStr">
        <is>
          <t>EcoTank L3250</t>
        </is>
      </c>
      <c r="J152" s="9" t="inlineStr">
        <is>
          <t>SN-DC11-3556</t>
        </is>
      </c>
      <c r="K152" s="11" t="n">
        <v>44332</v>
      </c>
      <c r="L152" s="12" t="n">
        <v>179900</v>
      </c>
      <c r="M152" s="10" t="inlineStr">
        <is>
          <t>DIRECTOR COMERCIAL</t>
        </is>
      </c>
    </row>
    <row r="153">
      <c r="A153" s="13" t="n">
        <v>149</v>
      </c>
      <c r="B153" s="14" t="inlineStr">
        <is>
          <t>DIRECCION COMERCIAL</t>
        </is>
      </c>
      <c r="C153" s="13" t="inlineStr">
        <is>
          <t>DC-12</t>
        </is>
      </c>
      <c r="D153" s="14" t="inlineStr">
        <is>
          <t>1 IMPRESORA</t>
        </is>
      </c>
      <c r="E153" s="14" t="inlineStr">
        <is>
          <t>INFORMATICA</t>
        </is>
      </c>
      <c r="F153" s="13" t="inlineStr">
        <is>
          <t>SERVICIO</t>
        </is>
      </c>
      <c r="G153" s="14" t="inlineStr">
        <is>
          <t>DEPARTAMENTO VENTAS NACIONAL</t>
        </is>
      </c>
      <c r="H153" s="14" t="inlineStr">
        <is>
          <t>Epson</t>
        </is>
      </c>
      <c r="I153" s="14" t="inlineStr">
        <is>
          <t>EcoTank L3250</t>
        </is>
      </c>
      <c r="J153" s="13" t="inlineStr">
        <is>
          <t>SN-DC12-3693</t>
        </is>
      </c>
      <c r="K153" s="15" t="n">
        <v>44617</v>
      </c>
      <c r="L153" s="16" t="n">
        <v>179900</v>
      </c>
      <c r="M153" s="14" t="inlineStr">
        <is>
          <t>JEFE DPTO. VENTAS NACIONAL</t>
        </is>
      </c>
    </row>
    <row r="154">
      <c r="A154" s="9" t="n">
        <v>150</v>
      </c>
      <c r="B154" s="10" t="inlineStr">
        <is>
          <t>DIRECCION COMERCIAL</t>
        </is>
      </c>
      <c r="C154" s="9" t="inlineStr">
        <is>
          <t>DC-13</t>
        </is>
      </c>
      <c r="D154" s="10" t="inlineStr">
        <is>
          <t>BURO</t>
        </is>
      </c>
      <c r="E154" s="10" t="inlineStr">
        <is>
          <t>MOBILIARIO</t>
        </is>
      </c>
      <c r="F154" s="9" t="inlineStr">
        <is>
          <t>SERVICIO</t>
        </is>
      </c>
      <c r="G154" s="10" t="inlineStr">
        <is>
          <t>DEPARTAMENTO VENTAS NACIONAL</t>
        </is>
      </c>
      <c r="H154" s="10" t="inlineStr">
        <is>
          <t>Rosen</t>
        </is>
      </c>
      <c r="I154" s="10" t="inlineStr">
        <is>
          <t>Buro Ejecutivo BR-120</t>
        </is>
      </c>
      <c r="J154" s="9" t="inlineStr">
        <is>
          <t>SN-DC13-3830</t>
        </is>
      </c>
      <c r="K154" s="11" t="n">
        <v>44607</v>
      </c>
      <c r="L154" s="12" t="n">
        <v>159900</v>
      </c>
      <c r="M154" s="10" t="inlineStr">
        <is>
          <t>JEFE DPTO. VENTAS NACIONAL</t>
        </is>
      </c>
    </row>
    <row r="155">
      <c r="A155" s="13" t="n">
        <v>151</v>
      </c>
      <c r="B155" s="14" t="inlineStr">
        <is>
          <t>DIRECCION COMERCIAL</t>
        </is>
      </c>
      <c r="C155" s="13" t="inlineStr">
        <is>
          <t>DC-14</t>
        </is>
      </c>
      <c r="D155" s="14" t="inlineStr">
        <is>
          <t>BURO</t>
        </is>
      </c>
      <c r="E155" s="14" t="inlineStr">
        <is>
          <t>MOBILIARIO</t>
        </is>
      </c>
      <c r="F155" s="13" t="inlineStr">
        <is>
          <t>SERVICIO</t>
        </is>
      </c>
      <c r="G155" s="14" t="inlineStr">
        <is>
          <t>DEPARTAMENTO VENTAS NACIONAL</t>
        </is>
      </c>
      <c r="H155" s="14" t="inlineStr">
        <is>
          <t>Rosen</t>
        </is>
      </c>
      <c r="I155" s="14" t="inlineStr">
        <is>
          <t>Buro Ejecutivo BR-120</t>
        </is>
      </c>
      <c r="J155" s="13" t="inlineStr">
        <is>
          <t>SN-DC14-3967</t>
        </is>
      </c>
      <c r="K155" s="15" t="n">
        <v>44612</v>
      </c>
      <c r="L155" s="16" t="n">
        <v>159900</v>
      </c>
      <c r="M155" s="14" t="inlineStr">
        <is>
          <t>JEFE DPTO. VENTAS NACIONAL</t>
        </is>
      </c>
    </row>
    <row r="156">
      <c r="A156" s="9" t="n">
        <v>152</v>
      </c>
      <c r="B156" s="10" t="inlineStr">
        <is>
          <t>DIRECCION COMERCIAL</t>
        </is>
      </c>
      <c r="C156" s="9" t="inlineStr">
        <is>
          <t>DC-15</t>
        </is>
      </c>
      <c r="D156" s="10" t="inlineStr">
        <is>
          <t>BURO</t>
        </is>
      </c>
      <c r="E156" s="10" t="inlineStr">
        <is>
          <t>MOBILIARIO</t>
        </is>
      </c>
      <c r="F156" s="9" t="inlineStr">
        <is>
          <t>SERVICIO</t>
        </is>
      </c>
      <c r="G156" s="10" t="inlineStr">
        <is>
          <t>DEPARTAMENTO VENTAS NACIONAL</t>
        </is>
      </c>
      <c r="H156" s="10" t="inlineStr">
        <is>
          <t>Rosen</t>
        </is>
      </c>
      <c r="I156" s="10" t="inlineStr">
        <is>
          <t>Buro Ejecutivo BR-120</t>
        </is>
      </c>
      <c r="J156" s="9" t="inlineStr">
        <is>
          <t>SN-DC15-4104</t>
        </is>
      </c>
      <c r="K156" s="11" t="n">
        <v>44617</v>
      </c>
      <c r="L156" s="12" t="n">
        <v>159900</v>
      </c>
      <c r="M156" s="10" t="inlineStr">
        <is>
          <t>JEFE DPTO. VENTAS NACIONAL</t>
        </is>
      </c>
    </row>
    <row r="157">
      <c r="A157" s="13" t="n">
        <v>153</v>
      </c>
      <c r="B157" s="14" t="inlineStr">
        <is>
          <t>DIRECCION COMERCIAL</t>
        </is>
      </c>
      <c r="C157" s="13" t="inlineStr">
        <is>
          <t>DC-16</t>
        </is>
      </c>
      <c r="D157" s="14" t="inlineStr">
        <is>
          <t>SILLA GIRATORIA</t>
        </is>
      </c>
      <c r="E157" s="14" t="inlineStr">
        <is>
          <t>MOBILIARIO</t>
        </is>
      </c>
      <c r="F157" s="13" t="inlineStr">
        <is>
          <t>SERVICIO</t>
        </is>
      </c>
      <c r="G157" s="14" t="inlineStr">
        <is>
          <t>DEPARTAMENTO VENTAS NACIONAL</t>
        </is>
      </c>
      <c r="H157" s="14" t="inlineStr">
        <is>
          <t>Ergosillas</t>
        </is>
      </c>
      <c r="I157" s="14" t="inlineStr">
        <is>
          <t>Pro Ergo 120</t>
        </is>
      </c>
      <c r="J157" s="13" t="inlineStr">
        <is>
          <t>SN-DC16-4241</t>
        </is>
      </c>
      <c r="K157" s="15" t="n">
        <v>44607</v>
      </c>
      <c r="L157" s="16" t="n">
        <v>109900</v>
      </c>
      <c r="M157" s="14" t="inlineStr">
        <is>
          <t>JEFE DPTO. VENTAS NACIONAL</t>
        </is>
      </c>
    </row>
    <row r="158">
      <c r="A158" s="9" t="n">
        <v>154</v>
      </c>
      <c r="B158" s="10" t="inlineStr">
        <is>
          <t>DIRECCION COMERCIAL</t>
        </is>
      </c>
      <c r="C158" s="9" t="inlineStr">
        <is>
          <t>DC-17</t>
        </is>
      </c>
      <c r="D158" s="10" t="inlineStr">
        <is>
          <t>SILLA GIRATORIA</t>
        </is>
      </c>
      <c r="E158" s="10" t="inlineStr">
        <is>
          <t>MOBILIARIO</t>
        </is>
      </c>
      <c r="F158" s="9" t="inlineStr">
        <is>
          <t>SERVICIO</t>
        </is>
      </c>
      <c r="G158" s="10" t="inlineStr">
        <is>
          <t>DEPARTAMENTO VENTAS NACIONAL</t>
        </is>
      </c>
      <c r="H158" s="10" t="inlineStr">
        <is>
          <t>Ergosillas</t>
        </is>
      </c>
      <c r="I158" s="10" t="inlineStr">
        <is>
          <t>Pro Ergo 120</t>
        </is>
      </c>
      <c r="J158" s="9" t="inlineStr">
        <is>
          <t>SN-DC17-4378</t>
        </is>
      </c>
      <c r="K158" s="11" t="n">
        <v>44612</v>
      </c>
      <c r="L158" s="12" t="n">
        <v>109900</v>
      </c>
      <c r="M158" s="10" t="inlineStr">
        <is>
          <t>JEFE DPTO. VENTAS NACIONAL</t>
        </is>
      </c>
    </row>
    <row r="159">
      <c r="A159" s="13" t="n">
        <v>155</v>
      </c>
      <c r="B159" s="14" t="inlineStr">
        <is>
          <t>DIRECCION COMERCIAL</t>
        </is>
      </c>
      <c r="C159" s="13" t="inlineStr">
        <is>
          <t>DC-18</t>
        </is>
      </c>
      <c r="D159" s="14" t="inlineStr">
        <is>
          <t>SILLA GIRATORIA</t>
        </is>
      </c>
      <c r="E159" s="14" t="inlineStr">
        <is>
          <t>MOBILIARIO</t>
        </is>
      </c>
      <c r="F159" s="13" t="inlineStr">
        <is>
          <t>SERVICIO</t>
        </is>
      </c>
      <c r="G159" s="14" t="inlineStr">
        <is>
          <t>DEPARTAMENTO VENTAS NACIONAL</t>
        </is>
      </c>
      <c r="H159" s="14" t="inlineStr">
        <is>
          <t>Ergosillas</t>
        </is>
      </c>
      <c r="I159" s="14" t="inlineStr">
        <is>
          <t>Pro Ergo 120</t>
        </is>
      </c>
      <c r="J159" s="13" t="inlineStr">
        <is>
          <t>SN-DC18-4515</t>
        </is>
      </c>
      <c r="K159" s="15" t="n">
        <v>44617</v>
      </c>
      <c r="L159" s="16" t="n">
        <v>109900</v>
      </c>
      <c r="M159" s="14" t="inlineStr">
        <is>
          <t>JEFE DPTO. VENTAS NACIONAL</t>
        </is>
      </c>
    </row>
    <row r="160">
      <c r="A160" s="9" t="n">
        <v>156</v>
      </c>
      <c r="B160" s="10" t="inlineStr">
        <is>
          <t>DIRECCION COMERCIAL</t>
        </is>
      </c>
      <c r="C160" s="9" t="inlineStr">
        <is>
          <t>DC-19</t>
        </is>
      </c>
      <c r="D160" s="10" t="inlineStr">
        <is>
          <t>PC ESCRITORIO</t>
        </is>
      </c>
      <c r="E160" s="10" t="inlineStr">
        <is>
          <t>INFORMATICA</t>
        </is>
      </c>
      <c r="F160" s="9" t="inlineStr">
        <is>
          <t>SERVICIO</t>
        </is>
      </c>
      <c r="G160" s="10" t="inlineStr">
        <is>
          <t>DEPARTAMENTO VENTAS NACIONAL</t>
        </is>
      </c>
      <c r="H160" s="10" t="inlineStr">
        <is>
          <t>HP</t>
        </is>
      </c>
      <c r="I160" s="10" t="inlineStr">
        <is>
          <t>ProDesk 400 G9 SFF</t>
        </is>
      </c>
      <c r="J160" s="9" t="inlineStr">
        <is>
          <t>SN-DC19-4652</t>
        </is>
      </c>
      <c r="K160" s="11" t="n">
        <v>44607</v>
      </c>
      <c r="L160" s="12" t="n">
        <v>549900</v>
      </c>
      <c r="M160" s="10" t="inlineStr">
        <is>
          <t>JEFE DPTO. VENTAS NACIONAL</t>
        </is>
      </c>
    </row>
    <row r="161">
      <c r="A161" s="13" t="n">
        <v>157</v>
      </c>
      <c r="B161" s="14" t="inlineStr">
        <is>
          <t>DIRECCION COMERCIAL</t>
        </is>
      </c>
      <c r="C161" s="13" t="inlineStr">
        <is>
          <t>DC-20</t>
        </is>
      </c>
      <c r="D161" s="14" t="inlineStr">
        <is>
          <t>PC ESCRITORIO</t>
        </is>
      </c>
      <c r="E161" s="14" t="inlineStr">
        <is>
          <t>INFORMATICA</t>
        </is>
      </c>
      <c r="F161" s="13" t="inlineStr">
        <is>
          <t>SERVICIO</t>
        </is>
      </c>
      <c r="G161" s="14" t="inlineStr">
        <is>
          <t>DEPARTAMENTO VENTAS NACIONAL</t>
        </is>
      </c>
      <c r="H161" s="14" t="inlineStr">
        <is>
          <t>HP</t>
        </is>
      </c>
      <c r="I161" s="14" t="inlineStr">
        <is>
          <t>ProDesk 400 G9 SFF</t>
        </is>
      </c>
      <c r="J161" s="13" t="inlineStr">
        <is>
          <t>SN-DC20-4789</t>
        </is>
      </c>
      <c r="K161" s="15" t="n">
        <v>44612</v>
      </c>
      <c r="L161" s="16" t="n">
        <v>549900</v>
      </c>
      <c r="M161" s="14" t="inlineStr">
        <is>
          <t>JEFE DPTO. VENTAS NACIONAL</t>
        </is>
      </c>
    </row>
    <row r="162">
      <c r="A162" s="9" t="n">
        <v>158</v>
      </c>
      <c r="B162" s="10" t="inlineStr">
        <is>
          <t>DIRECCION COMERCIAL</t>
        </is>
      </c>
      <c r="C162" s="9" t="inlineStr">
        <is>
          <t>DC-21</t>
        </is>
      </c>
      <c r="D162" s="10" t="inlineStr">
        <is>
          <t>PC ESCRITORIO</t>
        </is>
      </c>
      <c r="E162" s="10" t="inlineStr">
        <is>
          <t>INFORMATICA</t>
        </is>
      </c>
      <c r="F162" s="17" t="inlineStr">
        <is>
          <t>MTTO</t>
        </is>
      </c>
      <c r="G162" s="10" t="inlineStr">
        <is>
          <t>DEPARTAMENTO VENTAS NACIONAL</t>
        </is>
      </c>
      <c r="H162" s="10" t="inlineStr">
        <is>
          <t>HP</t>
        </is>
      </c>
      <c r="I162" s="10" t="inlineStr">
        <is>
          <t>ProDesk 400 G9 SFF</t>
        </is>
      </c>
      <c r="J162" s="9" t="inlineStr">
        <is>
          <t>SN-DC21-4926</t>
        </is>
      </c>
      <c r="K162" s="11" t="n">
        <v>44617</v>
      </c>
      <c r="L162" s="12" t="n">
        <v>549900</v>
      </c>
      <c r="M162" s="10" t="inlineStr">
        <is>
          <t>JEFE DPTO. VENTAS NACIONAL</t>
        </is>
      </c>
    </row>
    <row r="163">
      <c r="A163" s="13" t="n">
        <v>159</v>
      </c>
      <c r="B163" s="14" t="inlineStr">
        <is>
          <t>DIRECCION COMERCIAL</t>
        </is>
      </c>
      <c r="C163" s="13" t="inlineStr">
        <is>
          <t>DC-22</t>
        </is>
      </c>
      <c r="D163" s="14" t="inlineStr">
        <is>
          <t>VENTILADOR</t>
        </is>
      </c>
      <c r="E163" s="14" t="inlineStr">
        <is>
          <t>EQUIPOS DE CLIMATIZACION Y REFRIGERACION</t>
        </is>
      </c>
      <c r="F163" s="13" t="inlineStr">
        <is>
          <t>SERVICIO</t>
        </is>
      </c>
      <c r="G163" s="14" t="inlineStr">
        <is>
          <t>DEPARTAMENTO VENTAS NACIONAL</t>
        </is>
      </c>
      <c r="H163" s="14" t="inlineStr">
        <is>
          <t>Recco</t>
        </is>
      </c>
      <c r="I163" s="14" t="inlineStr">
        <is>
          <t>RVP-45PM Pedestal</t>
        </is>
      </c>
      <c r="J163" s="13" t="inlineStr">
        <is>
          <t>SN-DC22-5063</t>
        </is>
      </c>
      <c r="K163" s="15" t="n">
        <v>44607</v>
      </c>
      <c r="L163" s="16" t="n">
        <v>39990</v>
      </c>
      <c r="M163" s="14" t="inlineStr">
        <is>
          <t>JEFE DPTO. VENTAS NACIONAL</t>
        </is>
      </c>
    </row>
    <row r="164">
      <c r="A164" s="9" t="n">
        <v>160</v>
      </c>
      <c r="B164" s="10" t="inlineStr">
        <is>
          <t>DIRECCION COMERCIAL</t>
        </is>
      </c>
      <c r="C164" s="9" t="inlineStr">
        <is>
          <t>DC-23</t>
        </is>
      </c>
      <c r="D164" s="10" t="inlineStr">
        <is>
          <t>VENTILADOR</t>
        </is>
      </c>
      <c r="E164" s="10" t="inlineStr">
        <is>
          <t>EQUIPOS DE CLIMATIZACION Y REFRIGERACION</t>
        </is>
      </c>
      <c r="F164" s="17" t="inlineStr">
        <is>
          <t>MTTO</t>
        </is>
      </c>
      <c r="G164" s="10" t="inlineStr">
        <is>
          <t>DEPARTAMENTO VENTAS NACIONAL</t>
        </is>
      </c>
      <c r="H164" s="10" t="inlineStr">
        <is>
          <t>Recco</t>
        </is>
      </c>
      <c r="I164" s="10" t="inlineStr">
        <is>
          <t>RVP-45PM Pedestal</t>
        </is>
      </c>
      <c r="J164" s="9" t="inlineStr">
        <is>
          <t>SN-DC23-5200</t>
        </is>
      </c>
      <c r="K164" s="11" t="n">
        <v>44612</v>
      </c>
      <c r="L164" s="12" t="n">
        <v>39990</v>
      </c>
      <c r="M164" s="10" t="inlineStr">
        <is>
          <t>JEFE DPTO. VENTAS NACIONAL</t>
        </is>
      </c>
    </row>
    <row r="165">
      <c r="A165" s="13" t="n">
        <v>161</v>
      </c>
      <c r="B165" s="14" t="inlineStr">
        <is>
          <t>DIRECCION COMERCIAL</t>
        </is>
      </c>
      <c r="C165" s="13" t="inlineStr">
        <is>
          <t>DC-24</t>
        </is>
      </c>
      <c r="D165" s="14" t="inlineStr">
        <is>
          <t>VENTILADOR</t>
        </is>
      </c>
      <c r="E165" s="14" t="inlineStr">
        <is>
          <t>EQUIPOS DE CLIMATIZACION Y REFRIGERACION</t>
        </is>
      </c>
      <c r="F165" s="13" t="inlineStr">
        <is>
          <t>SERVICIO</t>
        </is>
      </c>
      <c r="G165" s="14" t="inlineStr">
        <is>
          <t>DEPARTAMENTO VENTAS NACIONAL</t>
        </is>
      </c>
      <c r="H165" s="14" t="inlineStr">
        <is>
          <t>Recco</t>
        </is>
      </c>
      <c r="I165" s="14" t="inlineStr">
        <is>
          <t>RVP-45PM Pedestal</t>
        </is>
      </c>
      <c r="J165" s="13" t="inlineStr">
        <is>
          <t>SN-DC24-5337</t>
        </is>
      </c>
      <c r="K165" s="15" t="n">
        <v>44617</v>
      </c>
      <c r="L165" s="16" t="n">
        <v>39990</v>
      </c>
      <c r="M165" s="14" t="inlineStr">
        <is>
          <t>JEFE DPTO. VENTAS NACIONAL</t>
        </is>
      </c>
    </row>
    <row r="166">
      <c r="A166" s="9" t="n">
        <v>162</v>
      </c>
      <c r="B166" s="10" t="inlineStr">
        <is>
          <t>DIRECCION COMERCIAL</t>
        </is>
      </c>
      <c r="C166" s="9" t="inlineStr">
        <is>
          <t>DC-25</t>
        </is>
      </c>
      <c r="D166" s="10" t="inlineStr">
        <is>
          <t>1 CREDENZA METALICA</t>
        </is>
      </c>
      <c r="E166" s="10" t="inlineStr">
        <is>
          <t>MOBILIARIO</t>
        </is>
      </c>
      <c r="F166" s="9" t="inlineStr">
        <is>
          <t>SERVICIO</t>
        </is>
      </c>
      <c r="G166" s="10" t="inlineStr">
        <is>
          <t>DEPARTAMENTO VENTAS NACIONAL</t>
        </is>
      </c>
      <c r="H166" s="10" t="inlineStr">
        <is>
          <t>Dimeiggs</t>
        </is>
      </c>
      <c r="I166" s="10" t="inlineStr">
        <is>
          <t>Credenza Metalica CRD-2P</t>
        </is>
      </c>
      <c r="J166" s="9" t="inlineStr">
        <is>
          <t>SN-DC25-5474</t>
        </is>
      </c>
      <c r="K166" s="11" t="n">
        <v>44607</v>
      </c>
      <c r="L166" s="12" t="n">
        <v>189900</v>
      </c>
      <c r="M166" s="10" t="inlineStr">
        <is>
          <t>JEFE DPTO. VENTAS NACIONAL</t>
        </is>
      </c>
    </row>
    <row r="167">
      <c r="A167" s="13" t="n">
        <v>163</v>
      </c>
      <c r="B167" s="14" t="inlineStr">
        <is>
          <t>DIRECCION COMERCIAL</t>
        </is>
      </c>
      <c r="C167" s="13" t="inlineStr">
        <is>
          <t>DC-26</t>
        </is>
      </c>
      <c r="D167" s="14" t="inlineStr">
        <is>
          <t>1 IMPRESORA</t>
        </is>
      </c>
      <c r="E167" s="14" t="inlineStr">
        <is>
          <t>INFORMATICA</t>
        </is>
      </c>
      <c r="F167" s="13" t="inlineStr">
        <is>
          <t>SERVICIO</t>
        </is>
      </c>
      <c r="G167" s="14" t="inlineStr">
        <is>
          <t>DEPARTAMENTO VENTAS INTERNACIONAL</t>
        </is>
      </c>
      <c r="H167" s="14" t="inlineStr">
        <is>
          <t>Epson</t>
        </is>
      </c>
      <c r="I167" s="14" t="inlineStr">
        <is>
          <t>EcoTank L3250</t>
        </is>
      </c>
      <c r="J167" s="13" t="inlineStr">
        <is>
          <t>SN-DC26-5611</t>
        </is>
      </c>
      <c r="K167" s="15" t="n">
        <v>44766</v>
      </c>
      <c r="L167" s="16" t="n">
        <v>179900</v>
      </c>
      <c r="M167" s="14" t="inlineStr">
        <is>
          <t>JEFE DPTO. VENTAS INTERNACIONAL</t>
        </is>
      </c>
    </row>
    <row r="168">
      <c r="A168" s="9" t="n">
        <v>164</v>
      </c>
      <c r="B168" s="10" t="inlineStr">
        <is>
          <t>DIRECCION COMERCIAL</t>
        </is>
      </c>
      <c r="C168" s="9" t="inlineStr">
        <is>
          <t>DC-27</t>
        </is>
      </c>
      <c r="D168" s="10" t="inlineStr">
        <is>
          <t>BURO</t>
        </is>
      </c>
      <c r="E168" s="10" t="inlineStr">
        <is>
          <t>MOBILIARIO</t>
        </is>
      </c>
      <c r="F168" s="9" t="inlineStr">
        <is>
          <t>SERVICIO</t>
        </is>
      </c>
      <c r="G168" s="10" t="inlineStr">
        <is>
          <t>DEPARTAMENTO VENTAS INTERNACIONAL</t>
        </is>
      </c>
      <c r="H168" s="10" t="inlineStr">
        <is>
          <t>Rosen</t>
        </is>
      </c>
      <c r="I168" s="10" t="inlineStr">
        <is>
          <t>Buro Ejecutivo BR-120</t>
        </is>
      </c>
      <c r="J168" s="9" t="inlineStr">
        <is>
          <t>SN-DC27-5748</t>
        </is>
      </c>
      <c r="K168" s="11" t="n">
        <v>44770</v>
      </c>
      <c r="L168" s="12" t="n">
        <v>159900</v>
      </c>
      <c r="M168" s="10" t="inlineStr">
        <is>
          <t>JEFE DPTO. VENTAS INTERNACIONAL</t>
        </is>
      </c>
    </row>
    <row r="169">
      <c r="A169" s="13" t="n">
        <v>165</v>
      </c>
      <c r="B169" s="14" t="inlineStr">
        <is>
          <t>DIRECCION COMERCIAL</t>
        </is>
      </c>
      <c r="C169" s="13" t="inlineStr">
        <is>
          <t>DC-28</t>
        </is>
      </c>
      <c r="D169" s="14" t="inlineStr">
        <is>
          <t>BURO</t>
        </is>
      </c>
      <c r="E169" s="14" t="inlineStr">
        <is>
          <t>MOBILIARIO</t>
        </is>
      </c>
      <c r="F169" s="13" t="inlineStr">
        <is>
          <t>SERVICIO</t>
        </is>
      </c>
      <c r="G169" s="14" t="inlineStr">
        <is>
          <t>DEPARTAMENTO VENTAS INTERNACIONAL</t>
        </is>
      </c>
      <c r="H169" s="14" t="inlineStr">
        <is>
          <t>Rosen</t>
        </is>
      </c>
      <c r="I169" s="14" t="inlineStr">
        <is>
          <t>Buro Ejecutivo BR-120</t>
        </is>
      </c>
      <c r="J169" s="13" t="inlineStr">
        <is>
          <t>SN-DC28-5885</t>
        </is>
      </c>
      <c r="K169" s="15" t="n">
        <v>44761</v>
      </c>
      <c r="L169" s="16" t="n">
        <v>159900</v>
      </c>
      <c r="M169" s="14" t="inlineStr">
        <is>
          <t>JEFE DPTO. VENTAS INTERNACIONAL</t>
        </is>
      </c>
    </row>
    <row r="170">
      <c r="A170" s="9" t="n">
        <v>166</v>
      </c>
      <c r="B170" s="10" t="inlineStr">
        <is>
          <t>DIRECCION COMERCIAL</t>
        </is>
      </c>
      <c r="C170" s="9" t="inlineStr">
        <is>
          <t>DC-29</t>
        </is>
      </c>
      <c r="D170" s="10" t="inlineStr">
        <is>
          <t>BURO</t>
        </is>
      </c>
      <c r="E170" s="10" t="inlineStr">
        <is>
          <t>MOBILIARIO</t>
        </is>
      </c>
      <c r="F170" s="9" t="inlineStr">
        <is>
          <t>SERVICIO</t>
        </is>
      </c>
      <c r="G170" s="10" t="inlineStr">
        <is>
          <t>DEPARTAMENTO VENTAS INTERNACIONAL</t>
        </is>
      </c>
      <c r="H170" s="10" t="inlineStr">
        <is>
          <t>Rosen</t>
        </is>
      </c>
      <c r="I170" s="10" t="inlineStr">
        <is>
          <t>Buro Ejecutivo BR-120</t>
        </is>
      </c>
      <c r="J170" s="9" t="inlineStr">
        <is>
          <t>SN-DC29-6022</t>
        </is>
      </c>
      <c r="K170" s="11" t="n">
        <v>44766</v>
      </c>
      <c r="L170" s="12" t="n">
        <v>159900</v>
      </c>
      <c r="M170" s="10" t="inlineStr">
        <is>
          <t>JEFE DPTO. VENTAS INTERNACIONAL</t>
        </is>
      </c>
    </row>
    <row r="171">
      <c r="A171" s="13" t="n">
        <v>167</v>
      </c>
      <c r="B171" s="14" t="inlineStr">
        <is>
          <t>DIRECCION COMERCIAL</t>
        </is>
      </c>
      <c r="C171" s="13" t="inlineStr">
        <is>
          <t>DC-30</t>
        </is>
      </c>
      <c r="D171" s="14" t="inlineStr">
        <is>
          <t>SILLA GIRATORIA</t>
        </is>
      </c>
      <c r="E171" s="14" t="inlineStr">
        <is>
          <t>MOBILIARIO</t>
        </is>
      </c>
      <c r="F171" s="13" t="inlineStr">
        <is>
          <t>SERVICIO</t>
        </is>
      </c>
      <c r="G171" s="14" t="inlineStr">
        <is>
          <t>DEPARTAMENTO VENTAS INTERNACIONAL</t>
        </is>
      </c>
      <c r="H171" s="14" t="inlineStr">
        <is>
          <t>Ergosillas</t>
        </is>
      </c>
      <c r="I171" s="14" t="inlineStr">
        <is>
          <t>Pro Ergo 120</t>
        </is>
      </c>
      <c r="J171" s="13" t="inlineStr">
        <is>
          <t>SN-DC30-6159</t>
        </is>
      </c>
      <c r="K171" s="15" t="n">
        <v>44770</v>
      </c>
      <c r="L171" s="16" t="n">
        <v>109900</v>
      </c>
      <c r="M171" s="14" t="inlineStr">
        <is>
          <t>JEFE DPTO. VENTAS INTERNACIONAL</t>
        </is>
      </c>
    </row>
    <row r="172">
      <c r="A172" s="9" t="n">
        <v>168</v>
      </c>
      <c r="B172" s="10" t="inlineStr">
        <is>
          <t>DIRECCION COMERCIAL</t>
        </is>
      </c>
      <c r="C172" s="9" t="inlineStr">
        <is>
          <t>DC-31</t>
        </is>
      </c>
      <c r="D172" s="10" t="inlineStr">
        <is>
          <t>SILLA GIRATORIA</t>
        </is>
      </c>
      <c r="E172" s="10" t="inlineStr">
        <is>
          <t>MOBILIARIO</t>
        </is>
      </c>
      <c r="F172" s="9" t="inlineStr">
        <is>
          <t>SERVICIO</t>
        </is>
      </c>
      <c r="G172" s="10" t="inlineStr">
        <is>
          <t>DEPARTAMENTO VENTAS INTERNACIONAL</t>
        </is>
      </c>
      <c r="H172" s="10" t="inlineStr">
        <is>
          <t>Ergosillas</t>
        </is>
      </c>
      <c r="I172" s="10" t="inlineStr">
        <is>
          <t>Pro Ergo 120</t>
        </is>
      </c>
      <c r="J172" s="9" t="inlineStr">
        <is>
          <t>SN-DC31-6296</t>
        </is>
      </c>
      <c r="K172" s="11" t="n">
        <v>44761</v>
      </c>
      <c r="L172" s="12" t="n">
        <v>109900</v>
      </c>
      <c r="M172" s="10" t="inlineStr">
        <is>
          <t>JEFE DPTO. VENTAS INTERNACIONAL</t>
        </is>
      </c>
    </row>
    <row r="173">
      <c r="A173" s="13" t="n">
        <v>169</v>
      </c>
      <c r="B173" s="14" t="inlineStr">
        <is>
          <t>DIRECCION COMERCIAL</t>
        </is>
      </c>
      <c r="C173" s="13" t="inlineStr">
        <is>
          <t>DC-32</t>
        </is>
      </c>
      <c r="D173" s="14" t="inlineStr">
        <is>
          <t>SILLA GIRATORIA</t>
        </is>
      </c>
      <c r="E173" s="14" t="inlineStr">
        <is>
          <t>MOBILIARIO</t>
        </is>
      </c>
      <c r="F173" s="13" t="inlineStr">
        <is>
          <t>SERVICIO</t>
        </is>
      </c>
      <c r="G173" s="14" t="inlineStr">
        <is>
          <t>DEPARTAMENTO VENTAS INTERNACIONAL</t>
        </is>
      </c>
      <c r="H173" s="14" t="inlineStr">
        <is>
          <t>Ergosillas</t>
        </is>
      </c>
      <c r="I173" s="14" t="inlineStr">
        <is>
          <t>Pro Ergo 120</t>
        </is>
      </c>
      <c r="J173" s="13" t="inlineStr">
        <is>
          <t>SN-DC32-6433</t>
        </is>
      </c>
      <c r="K173" s="15" t="n">
        <v>44766</v>
      </c>
      <c r="L173" s="16" t="n">
        <v>109900</v>
      </c>
      <c r="M173" s="14" t="inlineStr">
        <is>
          <t>JEFE DPTO. VENTAS INTERNACIONAL</t>
        </is>
      </c>
    </row>
    <row r="174">
      <c r="A174" s="9" t="n">
        <v>170</v>
      </c>
      <c r="B174" s="10" t="inlineStr">
        <is>
          <t>DIRECCION COMERCIAL</t>
        </is>
      </c>
      <c r="C174" s="9" t="inlineStr">
        <is>
          <t>DC-33</t>
        </is>
      </c>
      <c r="D174" s="10" t="inlineStr">
        <is>
          <t>PC ESCRITORIO</t>
        </is>
      </c>
      <c r="E174" s="10" t="inlineStr">
        <is>
          <t>INFORMATICA</t>
        </is>
      </c>
      <c r="F174" s="9" t="inlineStr">
        <is>
          <t>SERVICIO</t>
        </is>
      </c>
      <c r="G174" s="10" t="inlineStr">
        <is>
          <t>DEPARTAMENTO VENTAS INTERNACIONAL</t>
        </is>
      </c>
      <c r="H174" s="10" t="inlineStr">
        <is>
          <t>HP</t>
        </is>
      </c>
      <c r="I174" s="10" t="inlineStr">
        <is>
          <t>ProDesk 400 G9 SFF</t>
        </is>
      </c>
      <c r="J174" s="9" t="inlineStr">
        <is>
          <t>SN-DC33-6570</t>
        </is>
      </c>
      <c r="K174" s="11" t="n">
        <v>44770</v>
      </c>
      <c r="L174" s="12" t="n">
        <v>549900</v>
      </c>
      <c r="M174" s="10" t="inlineStr">
        <is>
          <t>JEFE DPTO. VENTAS INTERNACIONAL</t>
        </is>
      </c>
    </row>
    <row r="175">
      <c r="A175" s="13" t="n">
        <v>171</v>
      </c>
      <c r="B175" s="14" t="inlineStr">
        <is>
          <t>DIRECCION COMERCIAL</t>
        </is>
      </c>
      <c r="C175" s="13" t="inlineStr">
        <is>
          <t>DC-34</t>
        </is>
      </c>
      <c r="D175" s="14" t="inlineStr">
        <is>
          <t>PC ESCRITORIO</t>
        </is>
      </c>
      <c r="E175" s="14" t="inlineStr">
        <is>
          <t>INFORMATICA</t>
        </is>
      </c>
      <c r="F175" s="13" t="inlineStr">
        <is>
          <t>SERVICIO</t>
        </is>
      </c>
      <c r="G175" s="14" t="inlineStr">
        <is>
          <t>DEPARTAMENTO VENTAS INTERNACIONAL</t>
        </is>
      </c>
      <c r="H175" s="14" t="inlineStr">
        <is>
          <t>HP</t>
        </is>
      </c>
      <c r="I175" s="14" t="inlineStr">
        <is>
          <t>ProDesk 400 G9 SFF</t>
        </is>
      </c>
      <c r="J175" s="13" t="inlineStr">
        <is>
          <t>SN-DC34-6707</t>
        </is>
      </c>
      <c r="K175" s="15" t="n">
        <v>44761</v>
      </c>
      <c r="L175" s="16" t="n">
        <v>549900</v>
      </c>
      <c r="M175" s="14" t="inlineStr">
        <is>
          <t>JEFE DPTO. VENTAS INTERNACIONAL</t>
        </is>
      </c>
    </row>
    <row r="176">
      <c r="A176" s="9" t="n">
        <v>172</v>
      </c>
      <c r="B176" s="10" t="inlineStr">
        <is>
          <t>DIRECCION COMERCIAL</t>
        </is>
      </c>
      <c r="C176" s="9" t="inlineStr">
        <is>
          <t>DC-35</t>
        </is>
      </c>
      <c r="D176" s="10" t="inlineStr">
        <is>
          <t>PC ESCRITORIO</t>
        </is>
      </c>
      <c r="E176" s="10" t="inlineStr">
        <is>
          <t>INFORMATICA</t>
        </is>
      </c>
      <c r="F176" s="9" t="inlineStr">
        <is>
          <t>SERVICIO</t>
        </is>
      </c>
      <c r="G176" s="10" t="inlineStr">
        <is>
          <t>DEPARTAMENTO VENTAS INTERNACIONAL</t>
        </is>
      </c>
      <c r="H176" s="10" t="inlineStr">
        <is>
          <t>HP</t>
        </is>
      </c>
      <c r="I176" s="10" t="inlineStr">
        <is>
          <t>ProDesk 400 G9 SFF</t>
        </is>
      </c>
      <c r="J176" s="9" t="inlineStr">
        <is>
          <t>SN-DC35-6844</t>
        </is>
      </c>
      <c r="K176" s="11" t="n">
        <v>44766</v>
      </c>
      <c r="L176" s="12" t="n">
        <v>549900</v>
      </c>
      <c r="M176" s="10" t="inlineStr">
        <is>
          <t>JEFE DPTO. VENTAS INTERNACIONAL</t>
        </is>
      </c>
    </row>
    <row r="177">
      <c r="A177" s="13" t="n">
        <v>173</v>
      </c>
      <c r="B177" s="14" t="inlineStr">
        <is>
          <t>DIRECCION COMERCIAL</t>
        </is>
      </c>
      <c r="C177" s="13" t="inlineStr">
        <is>
          <t>DC-36</t>
        </is>
      </c>
      <c r="D177" s="14" t="inlineStr">
        <is>
          <t>VENTILADOR</t>
        </is>
      </c>
      <c r="E177" s="14" t="inlineStr">
        <is>
          <t>EQUIPOS DE CLIMATIZACION Y REFRIGERACION</t>
        </is>
      </c>
      <c r="F177" s="13" t="inlineStr">
        <is>
          <t>SERVICIO</t>
        </is>
      </c>
      <c r="G177" s="14" t="inlineStr">
        <is>
          <t>DEPARTAMENTO VENTAS INTERNACIONAL</t>
        </is>
      </c>
      <c r="H177" s="14" t="inlineStr">
        <is>
          <t>Recco</t>
        </is>
      </c>
      <c r="I177" s="14" t="inlineStr">
        <is>
          <t>RVP-45PM Pedestal</t>
        </is>
      </c>
      <c r="J177" s="13" t="inlineStr">
        <is>
          <t>SN-DC36-6981</t>
        </is>
      </c>
      <c r="K177" s="15" t="n">
        <v>44770</v>
      </c>
      <c r="L177" s="16" t="n">
        <v>39990</v>
      </c>
      <c r="M177" s="14" t="inlineStr">
        <is>
          <t>JEFE DPTO. VENTAS INTERNACIONAL</t>
        </is>
      </c>
    </row>
    <row r="178">
      <c r="A178" s="9" t="n">
        <v>174</v>
      </c>
      <c r="B178" s="10" t="inlineStr">
        <is>
          <t>DIRECCION COMERCIAL</t>
        </is>
      </c>
      <c r="C178" s="9" t="inlineStr">
        <is>
          <t>DC-37</t>
        </is>
      </c>
      <c r="D178" s="10" t="inlineStr">
        <is>
          <t>VENTILADOR</t>
        </is>
      </c>
      <c r="E178" s="10" t="inlineStr">
        <is>
          <t>EQUIPOS DE CLIMATIZACION Y REFRIGERACION</t>
        </is>
      </c>
      <c r="F178" s="9" t="inlineStr">
        <is>
          <t>SERVICIO</t>
        </is>
      </c>
      <c r="G178" s="10" t="inlineStr">
        <is>
          <t>DEPARTAMENTO VENTAS INTERNACIONAL</t>
        </is>
      </c>
      <c r="H178" s="10" t="inlineStr">
        <is>
          <t>Recco</t>
        </is>
      </c>
      <c r="I178" s="10" t="inlineStr">
        <is>
          <t>RVP-45PM Pedestal</t>
        </is>
      </c>
      <c r="J178" s="9" t="inlineStr">
        <is>
          <t>SN-DC37-7118</t>
        </is>
      </c>
      <c r="K178" s="11" t="n">
        <v>44761</v>
      </c>
      <c r="L178" s="12" t="n">
        <v>39990</v>
      </c>
      <c r="M178" s="10" t="inlineStr">
        <is>
          <t>JEFE DPTO. VENTAS INTERNACIONAL</t>
        </is>
      </c>
    </row>
    <row r="179">
      <c r="A179" s="13" t="n">
        <v>175</v>
      </c>
      <c r="B179" s="14" t="inlineStr">
        <is>
          <t>DIRECCION COMERCIAL</t>
        </is>
      </c>
      <c r="C179" s="13" t="inlineStr">
        <is>
          <t>DC-38</t>
        </is>
      </c>
      <c r="D179" s="14" t="inlineStr">
        <is>
          <t>VENTILADOR</t>
        </is>
      </c>
      <c r="E179" s="14" t="inlineStr">
        <is>
          <t>EQUIPOS DE CLIMATIZACION Y REFRIGERACION</t>
        </is>
      </c>
      <c r="F179" s="13" t="inlineStr">
        <is>
          <t>SERVICIO</t>
        </is>
      </c>
      <c r="G179" s="14" t="inlineStr">
        <is>
          <t>DEPARTAMENTO VENTAS INTERNACIONAL</t>
        </is>
      </c>
      <c r="H179" s="14" t="inlineStr">
        <is>
          <t>Recco</t>
        </is>
      </c>
      <c r="I179" s="14" t="inlineStr">
        <is>
          <t>RVP-45PM Pedestal</t>
        </is>
      </c>
      <c r="J179" s="13" t="inlineStr">
        <is>
          <t>SN-DC38-7255</t>
        </is>
      </c>
      <c r="K179" s="15" t="n">
        <v>44766</v>
      </c>
      <c r="L179" s="16" t="n">
        <v>39990</v>
      </c>
      <c r="M179" s="14" t="inlineStr">
        <is>
          <t>JEFE DPTO. VENTAS INTERNACIONAL</t>
        </is>
      </c>
    </row>
    <row r="180">
      <c r="A180" s="9" t="n">
        <v>176</v>
      </c>
      <c r="B180" s="10" t="inlineStr">
        <is>
          <t>DIRECCION COMERCIAL</t>
        </is>
      </c>
      <c r="C180" s="9" t="inlineStr">
        <is>
          <t>DC-39</t>
        </is>
      </c>
      <c r="D180" s="10" t="inlineStr">
        <is>
          <t>1 CREDENZA METALICA</t>
        </is>
      </c>
      <c r="E180" s="10" t="inlineStr">
        <is>
          <t>MOBILIARIO</t>
        </is>
      </c>
      <c r="F180" s="9" t="inlineStr">
        <is>
          <t>SERVICIO</t>
        </is>
      </c>
      <c r="G180" s="10" t="inlineStr">
        <is>
          <t>DEPARTAMENTO VENTAS INTERNACIONAL</t>
        </is>
      </c>
      <c r="H180" s="10" t="inlineStr">
        <is>
          <t>Dimeiggs</t>
        </is>
      </c>
      <c r="I180" s="10" t="inlineStr">
        <is>
          <t>Credenza Metalica CRD-2P</t>
        </is>
      </c>
      <c r="J180" s="9" t="inlineStr">
        <is>
          <t>SN-DC39-7392</t>
        </is>
      </c>
      <c r="K180" s="11" t="n">
        <v>44770</v>
      </c>
      <c r="L180" s="12" t="n">
        <v>189900</v>
      </c>
      <c r="M180" s="10" t="inlineStr">
        <is>
          <t>JEFE DPTO. VENTAS INTERNACIONAL</t>
        </is>
      </c>
    </row>
    <row r="181">
      <c r="A181" s="5" t="n">
        <v>177</v>
      </c>
      <c r="B181" s="6" t="inlineStr">
        <is>
          <t>DIRECCION ECONOMIA</t>
        </is>
      </c>
      <c r="C181" s="5" t="inlineStr">
        <is>
          <t>DE-01</t>
        </is>
      </c>
      <c r="D181" s="6" t="inlineStr">
        <is>
          <t>1 EQUIPO CLIMATIZACION 12000 BTU</t>
        </is>
      </c>
      <c r="E181" s="6" t="inlineStr">
        <is>
          <t>EQUIPOS DE CLIMATIZACION Y REFRIGERACION</t>
        </is>
      </c>
      <c r="F181" s="5" t="inlineStr">
        <is>
          <t>SERVICIO</t>
        </is>
      </c>
      <c r="G181" s="6" t="inlineStr">
        <is>
          <t>OFICINA DIRECTOR ECONOMIA</t>
        </is>
      </c>
      <c r="H181" s="6" t="inlineStr">
        <is>
          <t>Midea</t>
        </is>
      </c>
      <c r="I181" s="6" t="inlineStr">
        <is>
          <t>Xtreme Save 12.000 BTU</t>
        </is>
      </c>
      <c r="J181" s="5" t="inlineStr">
        <is>
          <t>SN-DE01-2186</t>
        </is>
      </c>
      <c r="K181" s="7" t="n">
        <v>44383</v>
      </c>
      <c r="L181" s="8" t="n">
        <v>389900</v>
      </c>
      <c r="M181" s="6" t="inlineStr">
        <is>
          <t>DIRECTOR ECONOMIA</t>
        </is>
      </c>
    </row>
    <row r="182">
      <c r="A182" s="9" t="n">
        <v>178</v>
      </c>
      <c r="B182" s="10" t="inlineStr">
        <is>
          <t>DIRECCION ECONOMIA</t>
        </is>
      </c>
      <c r="C182" s="9" t="inlineStr">
        <is>
          <t>DE-02</t>
        </is>
      </c>
      <c r="D182" s="10" t="inlineStr">
        <is>
          <t>1 SOFA 3 PERSONAS</t>
        </is>
      </c>
      <c r="E182" s="10" t="inlineStr">
        <is>
          <t>MOBILIARIO</t>
        </is>
      </c>
      <c r="F182" s="9" t="inlineStr">
        <is>
          <t>SERVICIO</t>
        </is>
      </c>
      <c r="G182" s="10" t="inlineStr">
        <is>
          <t>OFICINA DIRECTOR ECONOMIA</t>
        </is>
      </c>
      <c r="H182" s="10" t="inlineStr">
        <is>
          <t>Rosen</t>
        </is>
      </c>
      <c r="I182" s="10" t="inlineStr">
        <is>
          <t>Milano 3 Cuerpos</t>
        </is>
      </c>
      <c r="J182" s="9" t="inlineStr">
        <is>
          <t>SN-DE02-2323</t>
        </is>
      </c>
      <c r="K182" s="11" t="n">
        <v>44388</v>
      </c>
      <c r="L182" s="12" t="n">
        <v>429900</v>
      </c>
      <c r="M182" s="10" t="inlineStr">
        <is>
          <t>DIRECTOR ECONOMIA</t>
        </is>
      </c>
    </row>
    <row r="183">
      <c r="A183" s="13" t="n">
        <v>179</v>
      </c>
      <c r="B183" s="14" t="inlineStr">
        <is>
          <t>DIRECCION ECONOMIA</t>
        </is>
      </c>
      <c r="C183" s="13" t="inlineStr">
        <is>
          <t>DE-03</t>
        </is>
      </c>
      <c r="D183" s="14" t="inlineStr">
        <is>
          <t>BUTACA CON BRAZOS</t>
        </is>
      </c>
      <c r="E183" s="14" t="inlineStr">
        <is>
          <t>MOBILIARIO</t>
        </is>
      </c>
      <c r="F183" s="13" t="inlineStr">
        <is>
          <t>SERVICIO</t>
        </is>
      </c>
      <c r="G183" s="14" t="inlineStr">
        <is>
          <t>OFICINA DIRECTOR ECONOMIA</t>
        </is>
      </c>
      <c r="H183" s="14" t="inlineStr">
        <is>
          <t>Mica</t>
        </is>
      </c>
      <c r="I183" s="14" t="inlineStr">
        <is>
          <t>Oslo con Brazos</t>
        </is>
      </c>
      <c r="J183" s="13" t="inlineStr">
        <is>
          <t>SN-DE03-2460</t>
        </is>
      </c>
      <c r="K183" s="15" t="n">
        <v>44393</v>
      </c>
      <c r="L183" s="16" t="n">
        <v>94990</v>
      </c>
      <c r="M183" s="14" t="inlineStr">
        <is>
          <t>DIRECTOR ECONOMIA</t>
        </is>
      </c>
    </row>
    <row r="184">
      <c r="A184" s="9" t="n">
        <v>180</v>
      </c>
      <c r="B184" s="10" t="inlineStr">
        <is>
          <t>DIRECCION ECONOMIA</t>
        </is>
      </c>
      <c r="C184" s="9" t="inlineStr">
        <is>
          <t>DE-04</t>
        </is>
      </c>
      <c r="D184" s="10" t="inlineStr">
        <is>
          <t>BUTACA CON BRAZOS</t>
        </is>
      </c>
      <c r="E184" s="10" t="inlineStr">
        <is>
          <t>MOBILIARIO</t>
        </is>
      </c>
      <c r="F184" s="9" t="inlineStr">
        <is>
          <t>SERVICIO</t>
        </is>
      </c>
      <c r="G184" s="10" t="inlineStr">
        <is>
          <t>OFICINA DIRECTOR ECONOMIA</t>
        </is>
      </c>
      <c r="H184" s="10" t="inlineStr">
        <is>
          <t>Mica</t>
        </is>
      </c>
      <c r="I184" s="10" t="inlineStr">
        <is>
          <t>Oslo con Brazos</t>
        </is>
      </c>
      <c r="J184" s="9" t="inlineStr">
        <is>
          <t>SN-DE04-2597</t>
        </is>
      </c>
      <c r="K184" s="11" t="n">
        <v>44383</v>
      </c>
      <c r="L184" s="12" t="n">
        <v>94990</v>
      </c>
      <c r="M184" s="10" t="inlineStr">
        <is>
          <t>DIRECTOR ECONOMIA</t>
        </is>
      </c>
    </row>
    <row r="185">
      <c r="A185" s="13" t="n">
        <v>181</v>
      </c>
      <c r="B185" s="14" t="inlineStr">
        <is>
          <t>DIRECCION ECONOMIA</t>
        </is>
      </c>
      <c r="C185" s="13" t="inlineStr">
        <is>
          <t>DE-05</t>
        </is>
      </c>
      <c r="D185" s="14" t="inlineStr">
        <is>
          <t>BUTACA CON BRAZOS</t>
        </is>
      </c>
      <c r="E185" s="14" t="inlineStr">
        <is>
          <t>MOBILIARIO</t>
        </is>
      </c>
      <c r="F185" s="13" t="inlineStr">
        <is>
          <t>SERVICIO</t>
        </is>
      </c>
      <c r="G185" s="14" t="inlineStr">
        <is>
          <t>OFICINA DIRECTOR ECONOMIA</t>
        </is>
      </c>
      <c r="H185" s="14" t="inlineStr">
        <is>
          <t>Mica</t>
        </is>
      </c>
      <c r="I185" s="14" t="inlineStr">
        <is>
          <t>Oslo con Brazos</t>
        </is>
      </c>
      <c r="J185" s="13" t="inlineStr">
        <is>
          <t>SN-DE05-2734</t>
        </is>
      </c>
      <c r="K185" s="15" t="n">
        <v>44388</v>
      </c>
      <c r="L185" s="16" t="n">
        <v>94990</v>
      </c>
      <c r="M185" s="14" t="inlineStr">
        <is>
          <t>DIRECTOR ECONOMIA</t>
        </is>
      </c>
    </row>
    <row r="186">
      <c r="A186" s="9" t="n">
        <v>182</v>
      </c>
      <c r="B186" s="10" t="inlineStr">
        <is>
          <t>DIRECCION ECONOMIA</t>
        </is>
      </c>
      <c r="C186" s="9" t="inlineStr">
        <is>
          <t>DE-06</t>
        </is>
      </c>
      <c r="D186" s="10" t="inlineStr">
        <is>
          <t>1 TV DIGITAL LG 45"</t>
        </is>
      </c>
      <c r="E186" s="10" t="inlineStr">
        <is>
          <t>MOBILIARIO</t>
        </is>
      </c>
      <c r="F186" s="9" t="inlineStr">
        <is>
          <t>SERVICIO</t>
        </is>
      </c>
      <c r="G186" s="10" t="inlineStr">
        <is>
          <t>OFICINA DIRECTOR ECONOMIA</t>
        </is>
      </c>
      <c r="H186" s="10" t="inlineStr">
        <is>
          <t>LG</t>
        </is>
      </c>
      <c r="I186" s="10" t="inlineStr">
        <is>
          <t>45UR7300 UHD</t>
        </is>
      </c>
      <c r="J186" s="9" t="inlineStr">
        <is>
          <t>SN-DE06-2871</t>
        </is>
      </c>
      <c r="K186" s="11" t="n">
        <v>44393</v>
      </c>
      <c r="L186" s="12" t="n">
        <v>329900</v>
      </c>
      <c r="M186" s="10" t="inlineStr">
        <is>
          <t>DIRECTOR ECONOMIA</t>
        </is>
      </c>
    </row>
    <row r="187">
      <c r="A187" s="13" t="n">
        <v>183</v>
      </c>
      <c r="B187" s="14" t="inlineStr">
        <is>
          <t>DIRECCION ECONOMIA</t>
        </is>
      </c>
      <c r="C187" s="13" t="inlineStr">
        <is>
          <t>DE-07</t>
        </is>
      </c>
      <c r="D187" s="14" t="inlineStr">
        <is>
          <t>1 LAPTOP</t>
        </is>
      </c>
      <c r="E187" s="14" t="inlineStr">
        <is>
          <t>INFORMATICA</t>
        </is>
      </c>
      <c r="F187" s="13" t="inlineStr">
        <is>
          <t>SERVICIO</t>
        </is>
      </c>
      <c r="G187" s="14" t="inlineStr">
        <is>
          <t>OFICINA DIRECTOR ECONOMIA</t>
        </is>
      </c>
      <c r="H187" s="14" t="inlineStr">
        <is>
          <t>Lenovo</t>
        </is>
      </c>
      <c r="I187" s="14" t="inlineStr">
        <is>
          <t>ThinkPad E14 Gen 5</t>
        </is>
      </c>
      <c r="J187" s="13" t="inlineStr">
        <is>
          <t>SN-DE07-3008</t>
        </is>
      </c>
      <c r="K187" s="15" t="n">
        <v>44383</v>
      </c>
      <c r="L187" s="16" t="n">
        <v>749900</v>
      </c>
      <c r="M187" s="14" t="inlineStr">
        <is>
          <t>DIRECTOR ECONOMIA</t>
        </is>
      </c>
    </row>
    <row r="188">
      <c r="A188" s="9" t="n">
        <v>184</v>
      </c>
      <c r="B188" s="10" t="inlineStr">
        <is>
          <t>DIRECCION ECONOMIA</t>
        </is>
      </c>
      <c r="C188" s="9" t="inlineStr">
        <is>
          <t>DE-08</t>
        </is>
      </c>
      <c r="D188" s="10" t="inlineStr">
        <is>
          <t>1 BURO</t>
        </is>
      </c>
      <c r="E188" s="10" t="inlineStr">
        <is>
          <t>MOBILIARIO</t>
        </is>
      </c>
      <c r="F188" s="9" t="inlineStr">
        <is>
          <t>SERVICIO</t>
        </is>
      </c>
      <c r="G188" s="10" t="inlineStr">
        <is>
          <t>OFICINA DIRECTOR ECONOMIA</t>
        </is>
      </c>
      <c r="H188" s="10" t="inlineStr">
        <is>
          <t>Rosen</t>
        </is>
      </c>
      <c r="I188" s="10" t="inlineStr">
        <is>
          <t>Buro Ejecutivo BR-120</t>
        </is>
      </c>
      <c r="J188" s="9" t="inlineStr">
        <is>
          <t>SN-DE08-3145</t>
        </is>
      </c>
      <c r="K188" s="11" t="n">
        <v>44388</v>
      </c>
      <c r="L188" s="12" t="n">
        <v>159900</v>
      </c>
      <c r="M188" s="10" t="inlineStr">
        <is>
          <t>DIRECTOR ECONOMIA</t>
        </is>
      </c>
    </row>
    <row r="189">
      <c r="A189" s="13" t="n">
        <v>185</v>
      </c>
      <c r="B189" s="14" t="inlineStr">
        <is>
          <t>DIRECCION ECONOMIA</t>
        </is>
      </c>
      <c r="C189" s="13" t="inlineStr">
        <is>
          <t>DE-09</t>
        </is>
      </c>
      <c r="D189" s="14" t="inlineStr">
        <is>
          <t>1 SILLA GIRATORIA</t>
        </is>
      </c>
      <c r="E189" s="14" t="inlineStr">
        <is>
          <t>MOBILIARIO</t>
        </is>
      </c>
      <c r="F189" s="13" t="inlineStr">
        <is>
          <t>SERVICIO</t>
        </is>
      </c>
      <c r="G189" s="14" t="inlineStr">
        <is>
          <t>OFICINA DIRECTOR ECONOMIA</t>
        </is>
      </c>
      <c r="H189" s="14" t="inlineStr">
        <is>
          <t>Ergosillas</t>
        </is>
      </c>
      <c r="I189" s="14" t="inlineStr">
        <is>
          <t>Pro Ergo 120</t>
        </is>
      </c>
      <c r="J189" s="13" t="inlineStr">
        <is>
          <t>SN-DE09-3282</t>
        </is>
      </c>
      <c r="K189" s="15" t="n">
        <v>44393</v>
      </c>
      <c r="L189" s="16" t="n">
        <v>109900</v>
      </c>
      <c r="M189" s="14" t="inlineStr">
        <is>
          <t>DIRECTOR ECONOMIA</t>
        </is>
      </c>
    </row>
    <row r="190">
      <c r="A190" s="9" t="n">
        <v>186</v>
      </c>
      <c r="B190" s="10" t="inlineStr">
        <is>
          <t>DIRECCION ECONOMIA</t>
        </is>
      </c>
      <c r="C190" s="9" t="inlineStr">
        <is>
          <t>DE-10</t>
        </is>
      </c>
      <c r="D190" s="10" t="inlineStr">
        <is>
          <t>1 CREDENZA METALICA</t>
        </is>
      </c>
      <c r="E190" s="10" t="inlineStr">
        <is>
          <t>MOBILIARIO</t>
        </is>
      </c>
      <c r="F190" s="9" t="inlineStr">
        <is>
          <t>SERVICIO</t>
        </is>
      </c>
      <c r="G190" s="10" t="inlineStr">
        <is>
          <t>OFICINA DIRECTOR ECONOMIA</t>
        </is>
      </c>
      <c r="H190" s="10" t="inlineStr">
        <is>
          <t>Dimeiggs</t>
        </is>
      </c>
      <c r="I190" s="10" t="inlineStr">
        <is>
          <t>Credenza Metalica CRD-2P</t>
        </is>
      </c>
      <c r="J190" s="9" t="inlineStr">
        <is>
          <t>SN-DE10-3419</t>
        </is>
      </c>
      <c r="K190" s="11" t="n">
        <v>44383</v>
      </c>
      <c r="L190" s="12" t="n">
        <v>189900</v>
      </c>
      <c r="M190" s="10" t="inlineStr">
        <is>
          <t>DIRECTOR ECONOMIA</t>
        </is>
      </c>
    </row>
    <row r="191">
      <c r="A191" s="13" t="n">
        <v>187</v>
      </c>
      <c r="B191" s="14" t="inlineStr">
        <is>
          <t>DIRECCION ECONOMIA</t>
        </is>
      </c>
      <c r="C191" s="13" t="inlineStr">
        <is>
          <t>DE-11</t>
        </is>
      </c>
      <c r="D191" s="14" t="inlineStr">
        <is>
          <t>1 IMPRESORA</t>
        </is>
      </c>
      <c r="E191" s="14" t="inlineStr">
        <is>
          <t>INFORMATICA</t>
        </is>
      </c>
      <c r="F191" s="13" t="inlineStr">
        <is>
          <t>SERVICIO</t>
        </is>
      </c>
      <c r="G191" s="14" t="inlineStr">
        <is>
          <t>OFICINA DIRECTOR ECONOMIA</t>
        </is>
      </c>
      <c r="H191" s="14" t="inlineStr">
        <is>
          <t>Epson</t>
        </is>
      </c>
      <c r="I191" s="14" t="inlineStr">
        <is>
          <t>EcoTank L3250</t>
        </is>
      </c>
      <c r="J191" s="13" t="inlineStr">
        <is>
          <t>SN-DE11-3556</t>
        </is>
      </c>
      <c r="K191" s="15" t="n">
        <v>44388</v>
      </c>
      <c r="L191" s="16" t="n">
        <v>179900</v>
      </c>
      <c r="M191" s="14" t="inlineStr">
        <is>
          <t>DIRECTOR ECONOMIA</t>
        </is>
      </c>
    </row>
    <row r="192">
      <c r="A192" s="9" t="n">
        <v>188</v>
      </c>
      <c r="B192" s="10" t="inlineStr">
        <is>
          <t>DIRECCION ECONOMIA</t>
        </is>
      </c>
      <c r="C192" s="9" t="inlineStr">
        <is>
          <t>DE-12</t>
        </is>
      </c>
      <c r="D192" s="10" t="inlineStr">
        <is>
          <t>IMPRESORA</t>
        </is>
      </c>
      <c r="E192" s="10" t="inlineStr">
        <is>
          <t>INFORMATICA</t>
        </is>
      </c>
      <c r="F192" s="9" t="inlineStr">
        <is>
          <t>SERVICIO</t>
        </is>
      </c>
      <c r="G192" s="10" t="inlineStr">
        <is>
          <t>DEPARTAMENTO CONTABILIDAD</t>
        </is>
      </c>
      <c r="H192" s="10" t="inlineStr">
        <is>
          <t>Epson</t>
        </is>
      </c>
      <c r="I192" s="10" t="inlineStr">
        <is>
          <t>EcoTank L3250</t>
        </is>
      </c>
      <c r="J192" s="9" t="inlineStr">
        <is>
          <t>SN-DE12-3693</t>
        </is>
      </c>
      <c r="K192" s="11" t="n">
        <v>44639</v>
      </c>
      <c r="L192" s="12" t="n">
        <v>179900</v>
      </c>
      <c r="M192" s="10" t="inlineStr">
        <is>
          <t>JEFE DPTO. CONTABILIDAD</t>
        </is>
      </c>
    </row>
    <row r="193">
      <c r="A193" s="13" t="n">
        <v>189</v>
      </c>
      <c r="B193" s="14" t="inlineStr">
        <is>
          <t>DIRECCION ECONOMIA</t>
        </is>
      </c>
      <c r="C193" s="13" t="inlineStr">
        <is>
          <t>DE-13</t>
        </is>
      </c>
      <c r="D193" s="14" t="inlineStr">
        <is>
          <t>IMPRESORA</t>
        </is>
      </c>
      <c r="E193" s="14" t="inlineStr">
        <is>
          <t>INFORMATICA</t>
        </is>
      </c>
      <c r="F193" s="13" t="inlineStr">
        <is>
          <t>SERVICIO</t>
        </is>
      </c>
      <c r="G193" s="14" t="inlineStr">
        <is>
          <t>DEPARTAMENTO CONTABILIDAD</t>
        </is>
      </c>
      <c r="H193" s="14" t="inlineStr">
        <is>
          <t>Epson</t>
        </is>
      </c>
      <c r="I193" s="14" t="inlineStr">
        <is>
          <t>EcoTank L3250</t>
        </is>
      </c>
      <c r="J193" s="13" t="inlineStr">
        <is>
          <t>SN-DE13-3830</t>
        </is>
      </c>
      <c r="K193" s="15" t="n">
        <v>44629</v>
      </c>
      <c r="L193" s="16" t="n">
        <v>179900</v>
      </c>
      <c r="M193" s="14" t="inlineStr">
        <is>
          <t>JEFE DPTO. CONTABILIDAD</t>
        </is>
      </c>
    </row>
    <row r="194">
      <c r="A194" s="9" t="n">
        <v>190</v>
      </c>
      <c r="B194" s="10" t="inlineStr">
        <is>
          <t>DIRECCION ECONOMIA</t>
        </is>
      </c>
      <c r="C194" s="9" t="inlineStr">
        <is>
          <t>DE-14</t>
        </is>
      </c>
      <c r="D194" s="10" t="inlineStr">
        <is>
          <t>BURO</t>
        </is>
      </c>
      <c r="E194" s="10" t="inlineStr">
        <is>
          <t>MOBILIARIO</t>
        </is>
      </c>
      <c r="F194" s="9" t="inlineStr">
        <is>
          <t>SERVICIO</t>
        </is>
      </c>
      <c r="G194" s="10" t="inlineStr">
        <is>
          <t>DEPARTAMENTO CONTABILIDAD</t>
        </is>
      </c>
      <c r="H194" s="10" t="inlineStr">
        <is>
          <t>Rosen</t>
        </is>
      </c>
      <c r="I194" s="10" t="inlineStr">
        <is>
          <t>Buro Ejecutivo BR-120</t>
        </is>
      </c>
      <c r="J194" s="9" t="inlineStr">
        <is>
          <t>SN-DE14-3967</t>
        </is>
      </c>
      <c r="K194" s="11" t="n">
        <v>44634</v>
      </c>
      <c r="L194" s="12" t="n">
        <v>159900</v>
      </c>
      <c r="M194" s="10" t="inlineStr">
        <is>
          <t>JEFE DPTO. CONTABILIDAD</t>
        </is>
      </c>
    </row>
    <row r="195">
      <c r="A195" s="13" t="n">
        <v>191</v>
      </c>
      <c r="B195" s="14" t="inlineStr">
        <is>
          <t>DIRECCION ECONOMIA</t>
        </is>
      </c>
      <c r="C195" s="13" t="inlineStr">
        <is>
          <t>DE-15</t>
        </is>
      </c>
      <c r="D195" s="14" t="inlineStr">
        <is>
          <t>BURO</t>
        </is>
      </c>
      <c r="E195" s="14" t="inlineStr">
        <is>
          <t>MOBILIARIO</t>
        </is>
      </c>
      <c r="F195" s="13" t="inlineStr">
        <is>
          <t>SERVICIO</t>
        </is>
      </c>
      <c r="G195" s="14" t="inlineStr">
        <is>
          <t>DEPARTAMENTO CONTABILIDAD</t>
        </is>
      </c>
      <c r="H195" s="14" t="inlineStr">
        <is>
          <t>Rosen</t>
        </is>
      </c>
      <c r="I195" s="14" t="inlineStr">
        <is>
          <t>Buro Ejecutivo BR-120</t>
        </is>
      </c>
      <c r="J195" s="13" t="inlineStr">
        <is>
          <t>SN-DE15-4104</t>
        </is>
      </c>
      <c r="K195" s="15" t="n">
        <v>44639</v>
      </c>
      <c r="L195" s="16" t="n">
        <v>159900</v>
      </c>
      <c r="M195" s="14" t="inlineStr">
        <is>
          <t>JEFE DPTO. CONTABILIDAD</t>
        </is>
      </c>
    </row>
    <row r="196">
      <c r="A196" s="9" t="n">
        <v>192</v>
      </c>
      <c r="B196" s="10" t="inlineStr">
        <is>
          <t>DIRECCION ECONOMIA</t>
        </is>
      </c>
      <c r="C196" s="9" t="inlineStr">
        <is>
          <t>DE-16</t>
        </is>
      </c>
      <c r="D196" s="10" t="inlineStr">
        <is>
          <t>BURO</t>
        </is>
      </c>
      <c r="E196" s="10" t="inlineStr">
        <is>
          <t>MOBILIARIO</t>
        </is>
      </c>
      <c r="F196" s="9" t="inlineStr">
        <is>
          <t>SERVICIO</t>
        </is>
      </c>
      <c r="G196" s="10" t="inlineStr">
        <is>
          <t>DEPARTAMENTO CONTABILIDAD</t>
        </is>
      </c>
      <c r="H196" s="10" t="inlineStr">
        <is>
          <t>Rosen</t>
        </is>
      </c>
      <c r="I196" s="10" t="inlineStr">
        <is>
          <t>Buro Ejecutivo BR-120</t>
        </is>
      </c>
      <c r="J196" s="9" t="inlineStr">
        <is>
          <t>SN-DE16-4241</t>
        </is>
      </c>
      <c r="K196" s="11" t="n">
        <v>44629</v>
      </c>
      <c r="L196" s="12" t="n">
        <v>159900</v>
      </c>
      <c r="M196" s="10" t="inlineStr">
        <is>
          <t>JEFE DPTO. CONTABILIDAD</t>
        </is>
      </c>
    </row>
    <row r="197">
      <c r="A197" s="13" t="n">
        <v>193</v>
      </c>
      <c r="B197" s="14" t="inlineStr">
        <is>
          <t>DIRECCION ECONOMIA</t>
        </is>
      </c>
      <c r="C197" s="13" t="inlineStr">
        <is>
          <t>DE-17</t>
        </is>
      </c>
      <c r="D197" s="14" t="inlineStr">
        <is>
          <t>BURO</t>
        </is>
      </c>
      <c r="E197" s="14" t="inlineStr">
        <is>
          <t>MOBILIARIO</t>
        </is>
      </c>
      <c r="F197" s="13" t="inlineStr">
        <is>
          <t>SERVICIO</t>
        </is>
      </c>
      <c r="G197" s="14" t="inlineStr">
        <is>
          <t>DEPARTAMENTO CONTABILIDAD</t>
        </is>
      </c>
      <c r="H197" s="14" t="inlineStr">
        <is>
          <t>Rosen</t>
        </is>
      </c>
      <c r="I197" s="14" t="inlineStr">
        <is>
          <t>Buro Ejecutivo BR-120</t>
        </is>
      </c>
      <c r="J197" s="13" t="inlineStr">
        <is>
          <t>SN-DE17-4378</t>
        </is>
      </c>
      <c r="K197" s="15" t="n">
        <v>44634</v>
      </c>
      <c r="L197" s="16" t="n">
        <v>159900</v>
      </c>
      <c r="M197" s="14" t="inlineStr">
        <is>
          <t>JEFE DPTO. CONTABILIDAD</t>
        </is>
      </c>
    </row>
    <row r="198">
      <c r="A198" s="9" t="n">
        <v>194</v>
      </c>
      <c r="B198" s="10" t="inlineStr">
        <is>
          <t>DIRECCION ECONOMIA</t>
        </is>
      </c>
      <c r="C198" s="9" t="inlineStr">
        <is>
          <t>DE-18</t>
        </is>
      </c>
      <c r="D198" s="10" t="inlineStr">
        <is>
          <t>SILLA GIRATORIA</t>
        </is>
      </c>
      <c r="E198" s="10" t="inlineStr">
        <is>
          <t>MOBILIARIO</t>
        </is>
      </c>
      <c r="F198" s="9" t="inlineStr">
        <is>
          <t>SERVICIO</t>
        </is>
      </c>
      <c r="G198" s="10" t="inlineStr">
        <is>
          <t>DEPARTAMENTO CONTABILIDAD</t>
        </is>
      </c>
      <c r="H198" s="10" t="inlineStr">
        <is>
          <t>Ergosillas</t>
        </is>
      </c>
      <c r="I198" s="10" t="inlineStr">
        <is>
          <t>Pro Ergo 120</t>
        </is>
      </c>
      <c r="J198" s="9" t="inlineStr">
        <is>
          <t>SN-DE18-4515</t>
        </is>
      </c>
      <c r="K198" s="11" t="n">
        <v>44639</v>
      </c>
      <c r="L198" s="12" t="n">
        <v>109900</v>
      </c>
      <c r="M198" s="10" t="inlineStr">
        <is>
          <t>JEFE DPTO. CONTABILIDAD</t>
        </is>
      </c>
    </row>
    <row r="199">
      <c r="A199" s="13" t="n">
        <v>195</v>
      </c>
      <c r="B199" s="14" t="inlineStr">
        <is>
          <t>DIRECCION ECONOMIA</t>
        </is>
      </c>
      <c r="C199" s="13" t="inlineStr">
        <is>
          <t>DE-19</t>
        </is>
      </c>
      <c r="D199" s="14" t="inlineStr">
        <is>
          <t>SILLA GIRATORIA</t>
        </is>
      </c>
      <c r="E199" s="14" t="inlineStr">
        <is>
          <t>MOBILIARIO</t>
        </is>
      </c>
      <c r="F199" s="13" t="inlineStr">
        <is>
          <t>SERVICIO</t>
        </is>
      </c>
      <c r="G199" s="14" t="inlineStr">
        <is>
          <t>DEPARTAMENTO CONTABILIDAD</t>
        </is>
      </c>
      <c r="H199" s="14" t="inlineStr">
        <is>
          <t>Ergosillas</t>
        </is>
      </c>
      <c r="I199" s="14" t="inlineStr">
        <is>
          <t>Pro Ergo 120</t>
        </is>
      </c>
      <c r="J199" s="13" t="inlineStr">
        <is>
          <t>SN-DE19-4652</t>
        </is>
      </c>
      <c r="K199" s="15" t="n">
        <v>44629</v>
      </c>
      <c r="L199" s="16" t="n">
        <v>109900</v>
      </c>
      <c r="M199" s="14" t="inlineStr">
        <is>
          <t>JEFE DPTO. CONTABILIDAD</t>
        </is>
      </c>
    </row>
    <row r="200">
      <c r="A200" s="9" t="n">
        <v>196</v>
      </c>
      <c r="B200" s="10" t="inlineStr">
        <is>
          <t>DIRECCION ECONOMIA</t>
        </is>
      </c>
      <c r="C200" s="9" t="inlineStr">
        <is>
          <t>DE-20</t>
        </is>
      </c>
      <c r="D200" s="10" t="inlineStr">
        <is>
          <t>SILLA GIRATORIA</t>
        </is>
      </c>
      <c r="E200" s="10" t="inlineStr">
        <is>
          <t>MOBILIARIO</t>
        </is>
      </c>
      <c r="F200" s="9" t="inlineStr">
        <is>
          <t>SERVICIO</t>
        </is>
      </c>
      <c r="G200" s="10" t="inlineStr">
        <is>
          <t>DEPARTAMENTO CONTABILIDAD</t>
        </is>
      </c>
      <c r="H200" s="10" t="inlineStr">
        <is>
          <t>Ergosillas</t>
        </is>
      </c>
      <c r="I200" s="10" t="inlineStr">
        <is>
          <t>Pro Ergo 120</t>
        </is>
      </c>
      <c r="J200" s="9" t="inlineStr">
        <is>
          <t>SN-DE20-4789</t>
        </is>
      </c>
      <c r="K200" s="11" t="n">
        <v>44634</v>
      </c>
      <c r="L200" s="12" t="n">
        <v>109900</v>
      </c>
      <c r="M200" s="10" t="inlineStr">
        <is>
          <t>JEFE DPTO. CONTABILIDAD</t>
        </is>
      </c>
    </row>
    <row r="201">
      <c r="A201" s="13" t="n">
        <v>197</v>
      </c>
      <c r="B201" s="14" t="inlineStr">
        <is>
          <t>DIRECCION ECONOMIA</t>
        </is>
      </c>
      <c r="C201" s="13" t="inlineStr">
        <is>
          <t>DE-21</t>
        </is>
      </c>
      <c r="D201" s="14" t="inlineStr">
        <is>
          <t>SILLA GIRATORIA</t>
        </is>
      </c>
      <c r="E201" s="14" t="inlineStr">
        <is>
          <t>MOBILIARIO</t>
        </is>
      </c>
      <c r="F201" s="13" t="inlineStr">
        <is>
          <t>SERVICIO</t>
        </is>
      </c>
      <c r="G201" s="14" t="inlineStr">
        <is>
          <t>DEPARTAMENTO CONTABILIDAD</t>
        </is>
      </c>
      <c r="H201" s="14" t="inlineStr">
        <is>
          <t>Ergosillas</t>
        </is>
      </c>
      <c r="I201" s="14" t="inlineStr">
        <is>
          <t>Pro Ergo 120</t>
        </is>
      </c>
      <c r="J201" s="13" t="inlineStr">
        <is>
          <t>SN-DE21-4926</t>
        </is>
      </c>
      <c r="K201" s="15" t="n">
        <v>44639</v>
      </c>
      <c r="L201" s="16" t="n">
        <v>109900</v>
      </c>
      <c r="M201" s="14" t="inlineStr">
        <is>
          <t>JEFE DPTO. CONTABILIDAD</t>
        </is>
      </c>
    </row>
    <row r="202">
      <c r="A202" s="9" t="n">
        <v>198</v>
      </c>
      <c r="B202" s="10" t="inlineStr">
        <is>
          <t>DIRECCION ECONOMIA</t>
        </is>
      </c>
      <c r="C202" s="9" t="inlineStr">
        <is>
          <t>DE-22</t>
        </is>
      </c>
      <c r="D202" s="10" t="inlineStr">
        <is>
          <t>1 EQUIPO CLIMA 12000 BTU</t>
        </is>
      </c>
      <c r="E202" s="10" t="inlineStr">
        <is>
          <t>EQUIPOS DE CLIMATIZACION Y REFRIGERACION</t>
        </is>
      </c>
      <c r="F202" s="9" t="inlineStr">
        <is>
          <t>SERVICIO</t>
        </is>
      </c>
      <c r="G202" s="10" t="inlineStr">
        <is>
          <t>DEPARTAMENTO CONTABILIDAD</t>
        </is>
      </c>
      <c r="H202" s="10" t="inlineStr">
        <is>
          <t>Midea</t>
        </is>
      </c>
      <c r="I202" s="10" t="inlineStr">
        <is>
          <t>Xtreme Save 12.000 BTU</t>
        </is>
      </c>
      <c r="J202" s="9" t="inlineStr">
        <is>
          <t>SN-DE22-5063</t>
        </is>
      </c>
      <c r="K202" s="11" t="n">
        <v>44629</v>
      </c>
      <c r="L202" s="12" t="n">
        <v>389900</v>
      </c>
      <c r="M202" s="10" t="inlineStr">
        <is>
          <t>JEFE DPTO. CONTABILIDAD</t>
        </is>
      </c>
    </row>
    <row r="203">
      <c r="A203" s="13" t="n">
        <v>199</v>
      </c>
      <c r="B203" s="14" t="inlineStr">
        <is>
          <t>DIRECCION ECONOMIA</t>
        </is>
      </c>
      <c r="C203" s="13" t="inlineStr">
        <is>
          <t>DE-23</t>
        </is>
      </c>
      <c r="D203" s="14" t="inlineStr">
        <is>
          <t>PC ESCRITORIO</t>
        </is>
      </c>
      <c r="E203" s="14" t="inlineStr">
        <is>
          <t>INFORMATICA</t>
        </is>
      </c>
      <c r="F203" s="13" t="inlineStr">
        <is>
          <t>SERVICIO</t>
        </is>
      </c>
      <c r="G203" s="14" t="inlineStr">
        <is>
          <t>DEPARTAMENTO CONTABILIDAD</t>
        </is>
      </c>
      <c r="H203" s="14" t="inlineStr">
        <is>
          <t>HP</t>
        </is>
      </c>
      <c r="I203" s="14" t="inlineStr">
        <is>
          <t>ProDesk 400 G9 SFF</t>
        </is>
      </c>
      <c r="J203" s="13" t="inlineStr">
        <is>
          <t>SN-DE23-5200</t>
        </is>
      </c>
      <c r="K203" s="15" t="n">
        <v>44634</v>
      </c>
      <c r="L203" s="16" t="n">
        <v>549900</v>
      </c>
      <c r="M203" s="14" t="inlineStr">
        <is>
          <t>JEFE DPTO. CONTABILIDAD</t>
        </is>
      </c>
    </row>
    <row r="204">
      <c r="A204" s="9" t="n">
        <v>200</v>
      </c>
      <c r="B204" s="10" t="inlineStr">
        <is>
          <t>DIRECCION ECONOMIA</t>
        </is>
      </c>
      <c r="C204" s="9" t="inlineStr">
        <is>
          <t>DE-24</t>
        </is>
      </c>
      <c r="D204" s="10" t="inlineStr">
        <is>
          <t>PC ESCRITORIO</t>
        </is>
      </c>
      <c r="E204" s="10" t="inlineStr">
        <is>
          <t>INFORMATICA</t>
        </is>
      </c>
      <c r="F204" s="9" t="inlineStr">
        <is>
          <t>SERVICIO</t>
        </is>
      </c>
      <c r="G204" s="10" t="inlineStr">
        <is>
          <t>DEPARTAMENTO CONTABILIDAD</t>
        </is>
      </c>
      <c r="H204" s="10" t="inlineStr">
        <is>
          <t>HP</t>
        </is>
      </c>
      <c r="I204" s="10" t="inlineStr">
        <is>
          <t>ProDesk 400 G9 SFF</t>
        </is>
      </c>
      <c r="J204" s="9" t="inlineStr">
        <is>
          <t>SN-DE24-5337</t>
        </is>
      </c>
      <c r="K204" s="11" t="n">
        <v>44639</v>
      </c>
      <c r="L204" s="12" t="n">
        <v>549900</v>
      </c>
      <c r="M204" s="10" t="inlineStr">
        <is>
          <t>JEFE DPTO. CONTABILIDAD</t>
        </is>
      </c>
    </row>
    <row r="205">
      <c r="A205" s="13" t="n">
        <v>201</v>
      </c>
      <c r="B205" s="14" t="inlineStr">
        <is>
          <t>DIRECCION ECONOMIA</t>
        </is>
      </c>
      <c r="C205" s="13" t="inlineStr">
        <is>
          <t>DE-25</t>
        </is>
      </c>
      <c r="D205" s="14" t="inlineStr">
        <is>
          <t>PC ESCRITORIO</t>
        </is>
      </c>
      <c r="E205" s="14" t="inlineStr">
        <is>
          <t>INFORMATICA</t>
        </is>
      </c>
      <c r="F205" s="13" t="inlineStr">
        <is>
          <t>SERVICIO</t>
        </is>
      </c>
      <c r="G205" s="14" t="inlineStr">
        <is>
          <t>DEPARTAMENTO CONTABILIDAD</t>
        </is>
      </c>
      <c r="H205" s="14" t="inlineStr">
        <is>
          <t>HP</t>
        </is>
      </c>
      <c r="I205" s="14" t="inlineStr">
        <is>
          <t>ProDesk 400 G9 SFF</t>
        </is>
      </c>
      <c r="J205" s="13" t="inlineStr">
        <is>
          <t>SN-DE25-5474</t>
        </is>
      </c>
      <c r="K205" s="15" t="n">
        <v>44629</v>
      </c>
      <c r="L205" s="16" t="n">
        <v>549900</v>
      </c>
      <c r="M205" s="14" t="inlineStr">
        <is>
          <t>JEFE DPTO. CONTABILIDAD</t>
        </is>
      </c>
    </row>
    <row r="206">
      <c r="A206" s="9" t="n">
        <v>202</v>
      </c>
      <c r="B206" s="10" t="inlineStr">
        <is>
          <t>DIRECCION ECONOMIA</t>
        </is>
      </c>
      <c r="C206" s="9" t="inlineStr">
        <is>
          <t>DE-26</t>
        </is>
      </c>
      <c r="D206" s="10" t="inlineStr">
        <is>
          <t>PC ESCRITORIO</t>
        </is>
      </c>
      <c r="E206" s="10" t="inlineStr">
        <is>
          <t>INFORMATICA</t>
        </is>
      </c>
      <c r="F206" s="9" t="inlineStr">
        <is>
          <t>SERVICIO</t>
        </is>
      </c>
      <c r="G206" s="10" t="inlineStr">
        <is>
          <t>DEPARTAMENTO CONTABILIDAD</t>
        </is>
      </c>
      <c r="H206" s="10" t="inlineStr">
        <is>
          <t>HP</t>
        </is>
      </c>
      <c r="I206" s="10" t="inlineStr">
        <is>
          <t>ProDesk 400 G9 SFF</t>
        </is>
      </c>
      <c r="J206" s="9" t="inlineStr">
        <is>
          <t>SN-DE26-5611</t>
        </is>
      </c>
      <c r="K206" s="11" t="n">
        <v>44634</v>
      </c>
      <c r="L206" s="12" t="n">
        <v>549900</v>
      </c>
      <c r="M206" s="10" t="inlineStr">
        <is>
          <t>JEFE DPTO. CONTABILIDAD</t>
        </is>
      </c>
    </row>
    <row r="207">
      <c r="A207" s="13" t="n">
        <v>203</v>
      </c>
      <c r="B207" s="14" t="inlineStr">
        <is>
          <t>DIRECCION ECONOMIA</t>
        </is>
      </c>
      <c r="C207" s="13" t="inlineStr">
        <is>
          <t>DE-27</t>
        </is>
      </c>
      <c r="D207" s="14" t="inlineStr">
        <is>
          <t>CREDENZAS METALICAS</t>
        </is>
      </c>
      <c r="E207" s="14" t="inlineStr">
        <is>
          <t>MOBILIARIO</t>
        </is>
      </c>
      <c r="F207" s="13" t="inlineStr">
        <is>
          <t>SERVICIO</t>
        </is>
      </c>
      <c r="G207" s="14" t="inlineStr">
        <is>
          <t>DEPARTAMENTO CONTABILIDAD</t>
        </is>
      </c>
      <c r="H207" s="14" t="inlineStr">
        <is>
          <t>Dimeiggs</t>
        </is>
      </c>
      <c r="I207" s="14" t="inlineStr">
        <is>
          <t>Credenza Metalica CRD-2P</t>
        </is>
      </c>
      <c r="J207" s="13" t="inlineStr">
        <is>
          <t>SN-DE27-5748</t>
        </is>
      </c>
      <c r="K207" s="15" t="n">
        <v>44639</v>
      </c>
      <c r="L207" s="16" t="n">
        <v>189900</v>
      </c>
      <c r="M207" s="14" t="inlineStr">
        <is>
          <t>JEFE DPTO. CONTABILIDAD</t>
        </is>
      </c>
    </row>
    <row r="208">
      <c r="A208" s="9" t="n">
        <v>204</v>
      </c>
      <c r="B208" s="10" t="inlineStr">
        <is>
          <t>DIRECCION ECONOMIA</t>
        </is>
      </c>
      <c r="C208" s="9" t="inlineStr">
        <is>
          <t>DE-28</t>
        </is>
      </c>
      <c r="D208" s="10" t="inlineStr">
        <is>
          <t>CREDENZAS METALICAS</t>
        </is>
      </c>
      <c r="E208" s="10" t="inlineStr">
        <is>
          <t>MOBILIARIO</t>
        </is>
      </c>
      <c r="F208" s="9" t="inlineStr">
        <is>
          <t>SERVICIO</t>
        </is>
      </c>
      <c r="G208" s="10" t="inlineStr">
        <is>
          <t>DEPARTAMENTO CONTABILIDAD</t>
        </is>
      </c>
      <c r="H208" s="10" t="inlineStr">
        <is>
          <t>Dimeiggs</t>
        </is>
      </c>
      <c r="I208" s="10" t="inlineStr">
        <is>
          <t>Credenza Metalica CRD-2P</t>
        </is>
      </c>
      <c r="J208" s="9" t="inlineStr">
        <is>
          <t>SN-DE28-5885</t>
        </is>
      </c>
      <c r="K208" s="11" t="n">
        <v>44629</v>
      </c>
      <c r="L208" s="12" t="n">
        <v>189900</v>
      </c>
      <c r="M208" s="10" t="inlineStr">
        <is>
          <t>JEFE DPTO. CONTABILIDAD</t>
        </is>
      </c>
    </row>
    <row r="209">
      <c r="A209" s="13" t="n">
        <v>205</v>
      </c>
      <c r="B209" s="14" t="inlineStr">
        <is>
          <t>DIRECCION ECONOMIA</t>
        </is>
      </c>
      <c r="C209" s="13" t="inlineStr">
        <is>
          <t>DE-29</t>
        </is>
      </c>
      <c r="D209" s="14" t="inlineStr">
        <is>
          <t>CREDENZAS METALICAS</t>
        </is>
      </c>
      <c r="E209" s="14" t="inlineStr">
        <is>
          <t>MOBILIARIO</t>
        </is>
      </c>
      <c r="F209" s="13" t="inlineStr">
        <is>
          <t>SERVICIO</t>
        </is>
      </c>
      <c r="G209" s="14" t="inlineStr">
        <is>
          <t>DEPARTAMENTO CONTABILIDAD</t>
        </is>
      </c>
      <c r="H209" s="14" t="inlineStr">
        <is>
          <t>Dimeiggs</t>
        </is>
      </c>
      <c r="I209" s="14" t="inlineStr">
        <is>
          <t>Credenza Metalica CRD-2P</t>
        </is>
      </c>
      <c r="J209" s="13" t="inlineStr">
        <is>
          <t>SN-DE29-6022</t>
        </is>
      </c>
      <c r="K209" s="15" t="n">
        <v>44634</v>
      </c>
      <c r="L209" s="16" t="n">
        <v>189900</v>
      </c>
      <c r="M209" s="14" t="inlineStr">
        <is>
          <t>JEFE DPTO. CONTABILIDAD</t>
        </is>
      </c>
    </row>
    <row r="210">
      <c r="A210" s="9" t="n">
        <v>206</v>
      </c>
      <c r="B210" s="10" t="inlineStr">
        <is>
          <t>DIRECCION ECONOMIA</t>
        </is>
      </c>
      <c r="C210" s="9" t="inlineStr">
        <is>
          <t>DE-30</t>
        </is>
      </c>
      <c r="D210" s="10" t="inlineStr">
        <is>
          <t>CREDENZAS METALICAS</t>
        </is>
      </c>
      <c r="E210" s="10" t="inlineStr">
        <is>
          <t>MOBILIARIO</t>
        </is>
      </c>
      <c r="F210" s="9" t="inlineStr">
        <is>
          <t>SERVICIO</t>
        </is>
      </c>
      <c r="G210" s="10" t="inlineStr">
        <is>
          <t>DEPARTAMENTO CONTABILIDAD</t>
        </is>
      </c>
      <c r="H210" s="10" t="inlineStr">
        <is>
          <t>Dimeiggs</t>
        </is>
      </c>
      <c r="I210" s="10" t="inlineStr">
        <is>
          <t>Credenza Metalica CRD-2P</t>
        </is>
      </c>
      <c r="J210" s="9" t="inlineStr">
        <is>
          <t>SN-DE30-6159</t>
        </is>
      </c>
      <c r="K210" s="11" t="n">
        <v>44639</v>
      </c>
      <c r="L210" s="12" t="n">
        <v>189900</v>
      </c>
      <c r="M210" s="10" t="inlineStr">
        <is>
          <t>JEFE DPTO. CONTABILIDAD</t>
        </is>
      </c>
    </row>
    <row r="211">
      <c r="A211" s="13" t="n">
        <v>207</v>
      </c>
      <c r="B211" s="14" t="inlineStr">
        <is>
          <t>DIRECCION ECONOMIA</t>
        </is>
      </c>
      <c r="C211" s="13" t="inlineStr">
        <is>
          <t>DE-31</t>
        </is>
      </c>
      <c r="D211" s="14" t="inlineStr">
        <is>
          <t>IMPRESORA</t>
        </is>
      </c>
      <c r="E211" s="14" t="inlineStr">
        <is>
          <t>INFORMATICA</t>
        </is>
      </c>
      <c r="F211" s="13" t="inlineStr">
        <is>
          <t>SERVICIO</t>
        </is>
      </c>
      <c r="G211" s="14" t="inlineStr">
        <is>
          <t>DEPARTAMENTO FINANZAS</t>
        </is>
      </c>
      <c r="H211" s="14" t="inlineStr">
        <is>
          <t>Epson</t>
        </is>
      </c>
      <c r="I211" s="14" t="inlineStr">
        <is>
          <t>EcoTank L3250</t>
        </is>
      </c>
      <c r="J211" s="13" t="inlineStr">
        <is>
          <t>SN-DE31-6296</t>
        </is>
      </c>
      <c r="K211" s="15" t="n">
        <v>44817</v>
      </c>
      <c r="L211" s="16" t="n">
        <v>179900</v>
      </c>
      <c r="M211" s="14" t="inlineStr">
        <is>
          <t>JEFE DPTO. FINANZAS</t>
        </is>
      </c>
    </row>
    <row r="212">
      <c r="A212" s="9" t="n">
        <v>208</v>
      </c>
      <c r="B212" s="10" t="inlineStr">
        <is>
          <t>DIRECCION ECONOMIA</t>
        </is>
      </c>
      <c r="C212" s="9" t="inlineStr">
        <is>
          <t>DE-32</t>
        </is>
      </c>
      <c r="D212" s="10" t="inlineStr">
        <is>
          <t>IMPRESORA</t>
        </is>
      </c>
      <c r="E212" s="10" t="inlineStr">
        <is>
          <t>INFORMATICA</t>
        </is>
      </c>
      <c r="F212" s="9" t="inlineStr">
        <is>
          <t>SERVICIO</t>
        </is>
      </c>
      <c r="G212" s="10" t="inlineStr">
        <is>
          <t>DEPARTAMENTO FINANZAS</t>
        </is>
      </c>
      <c r="H212" s="10" t="inlineStr">
        <is>
          <t>Epson</t>
        </is>
      </c>
      <c r="I212" s="10" t="inlineStr">
        <is>
          <t>EcoTank L3250</t>
        </is>
      </c>
      <c r="J212" s="9" t="inlineStr">
        <is>
          <t>SN-DE32-6433</t>
        </is>
      </c>
      <c r="K212" s="11" t="n">
        <v>44822</v>
      </c>
      <c r="L212" s="12" t="n">
        <v>179900</v>
      </c>
      <c r="M212" s="10" t="inlineStr">
        <is>
          <t>JEFE DPTO. FINANZAS</t>
        </is>
      </c>
    </row>
    <row r="213">
      <c r="A213" s="13" t="n">
        <v>209</v>
      </c>
      <c r="B213" s="14" t="inlineStr">
        <is>
          <t>DIRECCION ECONOMIA</t>
        </is>
      </c>
      <c r="C213" s="13" t="inlineStr">
        <is>
          <t>DE-33</t>
        </is>
      </c>
      <c r="D213" s="14" t="inlineStr">
        <is>
          <t>BURO</t>
        </is>
      </c>
      <c r="E213" s="14" t="inlineStr">
        <is>
          <t>MOBILIARIO</t>
        </is>
      </c>
      <c r="F213" s="13" t="inlineStr">
        <is>
          <t>SERVICIO</t>
        </is>
      </c>
      <c r="G213" s="14" t="inlineStr">
        <is>
          <t>DEPARTAMENTO FINANZAS</t>
        </is>
      </c>
      <c r="H213" s="14" t="inlineStr">
        <is>
          <t>Rosen</t>
        </is>
      </c>
      <c r="I213" s="14" t="inlineStr">
        <is>
          <t>Buro Ejecutivo BR-120</t>
        </is>
      </c>
      <c r="J213" s="13" t="inlineStr">
        <is>
          <t>SN-DE33-6570</t>
        </is>
      </c>
      <c r="K213" s="15" t="n">
        <v>44827</v>
      </c>
      <c r="L213" s="16" t="n">
        <v>159900</v>
      </c>
      <c r="M213" s="14" t="inlineStr">
        <is>
          <t>JEFE DPTO. FINANZAS</t>
        </is>
      </c>
    </row>
    <row r="214">
      <c r="A214" s="9" t="n">
        <v>210</v>
      </c>
      <c r="B214" s="10" t="inlineStr">
        <is>
          <t>DIRECCION ECONOMIA</t>
        </is>
      </c>
      <c r="C214" s="9" t="inlineStr">
        <is>
          <t>DE-34</t>
        </is>
      </c>
      <c r="D214" s="10" t="inlineStr">
        <is>
          <t>BURO</t>
        </is>
      </c>
      <c r="E214" s="10" t="inlineStr">
        <is>
          <t>MOBILIARIO</t>
        </is>
      </c>
      <c r="F214" s="9" t="inlineStr">
        <is>
          <t>SERVICIO</t>
        </is>
      </c>
      <c r="G214" s="10" t="inlineStr">
        <is>
          <t>DEPARTAMENTO FINANZAS</t>
        </is>
      </c>
      <c r="H214" s="10" t="inlineStr">
        <is>
          <t>Rosen</t>
        </is>
      </c>
      <c r="I214" s="10" t="inlineStr">
        <is>
          <t>Buro Ejecutivo BR-120</t>
        </is>
      </c>
      <c r="J214" s="9" t="inlineStr">
        <is>
          <t>SN-DE34-6707</t>
        </is>
      </c>
      <c r="K214" s="11" t="n">
        <v>44817</v>
      </c>
      <c r="L214" s="12" t="n">
        <v>159900</v>
      </c>
      <c r="M214" s="10" t="inlineStr">
        <is>
          <t>JEFE DPTO. FINANZAS</t>
        </is>
      </c>
    </row>
    <row r="215">
      <c r="A215" s="13" t="n">
        <v>211</v>
      </c>
      <c r="B215" s="14" t="inlineStr">
        <is>
          <t>DIRECCION ECONOMIA</t>
        </is>
      </c>
      <c r="C215" s="13" t="inlineStr">
        <is>
          <t>DE-35</t>
        </is>
      </c>
      <c r="D215" s="14" t="inlineStr">
        <is>
          <t>BURO</t>
        </is>
      </c>
      <c r="E215" s="14" t="inlineStr">
        <is>
          <t>MOBILIARIO</t>
        </is>
      </c>
      <c r="F215" s="13" t="inlineStr">
        <is>
          <t>SERVICIO</t>
        </is>
      </c>
      <c r="G215" s="14" t="inlineStr">
        <is>
          <t>DEPARTAMENTO FINANZAS</t>
        </is>
      </c>
      <c r="H215" s="14" t="inlineStr">
        <is>
          <t>Rosen</t>
        </is>
      </c>
      <c r="I215" s="14" t="inlineStr">
        <is>
          <t>Buro Ejecutivo BR-120</t>
        </is>
      </c>
      <c r="J215" s="13" t="inlineStr">
        <is>
          <t>SN-DE35-6844</t>
        </is>
      </c>
      <c r="K215" s="15" t="n">
        <v>44822</v>
      </c>
      <c r="L215" s="16" t="n">
        <v>159900</v>
      </c>
      <c r="M215" s="14" t="inlineStr">
        <is>
          <t>JEFE DPTO. FINANZAS</t>
        </is>
      </c>
    </row>
    <row r="216">
      <c r="A216" s="9" t="n">
        <v>212</v>
      </c>
      <c r="B216" s="10" t="inlineStr">
        <is>
          <t>DIRECCION ECONOMIA</t>
        </is>
      </c>
      <c r="C216" s="9" t="inlineStr">
        <is>
          <t>DE-36</t>
        </is>
      </c>
      <c r="D216" s="10" t="inlineStr">
        <is>
          <t>BURO</t>
        </is>
      </c>
      <c r="E216" s="10" t="inlineStr">
        <is>
          <t>MOBILIARIO</t>
        </is>
      </c>
      <c r="F216" s="9" t="inlineStr">
        <is>
          <t>SERVICIO</t>
        </is>
      </c>
      <c r="G216" s="10" t="inlineStr">
        <is>
          <t>DEPARTAMENTO FINANZAS</t>
        </is>
      </c>
      <c r="H216" s="10" t="inlineStr">
        <is>
          <t>Rosen</t>
        </is>
      </c>
      <c r="I216" s="10" t="inlineStr">
        <is>
          <t>Buro Ejecutivo BR-120</t>
        </is>
      </c>
      <c r="J216" s="9" t="inlineStr">
        <is>
          <t>SN-DE36-6981</t>
        </is>
      </c>
      <c r="K216" s="11" t="n">
        <v>44827</v>
      </c>
      <c r="L216" s="12" t="n">
        <v>159900</v>
      </c>
      <c r="M216" s="10" t="inlineStr">
        <is>
          <t>JEFE DPTO. FINANZAS</t>
        </is>
      </c>
    </row>
    <row r="217">
      <c r="A217" s="13" t="n">
        <v>213</v>
      </c>
      <c r="B217" s="14" t="inlineStr">
        <is>
          <t>DIRECCION ECONOMIA</t>
        </is>
      </c>
      <c r="C217" s="13" t="inlineStr">
        <is>
          <t>DE-37</t>
        </is>
      </c>
      <c r="D217" s="14" t="inlineStr">
        <is>
          <t>SILLA GIRATORIA</t>
        </is>
      </c>
      <c r="E217" s="14" t="inlineStr">
        <is>
          <t>MOBILIARIO</t>
        </is>
      </c>
      <c r="F217" s="13" t="inlineStr">
        <is>
          <t>SERVICIO</t>
        </is>
      </c>
      <c r="G217" s="14" t="inlineStr">
        <is>
          <t>DEPARTAMENTO FINANZAS</t>
        </is>
      </c>
      <c r="H217" s="14" t="inlineStr">
        <is>
          <t>Ergosillas</t>
        </is>
      </c>
      <c r="I217" s="14" t="inlineStr">
        <is>
          <t>Pro Ergo 120</t>
        </is>
      </c>
      <c r="J217" s="13" t="inlineStr">
        <is>
          <t>SN-DE37-7118</t>
        </is>
      </c>
      <c r="K217" s="15" t="n">
        <v>44817</v>
      </c>
      <c r="L217" s="16" t="n">
        <v>109900</v>
      </c>
      <c r="M217" s="14" t="inlineStr">
        <is>
          <t>JEFE DPTO. FINANZAS</t>
        </is>
      </c>
    </row>
    <row r="218">
      <c r="A218" s="9" t="n">
        <v>214</v>
      </c>
      <c r="B218" s="10" t="inlineStr">
        <is>
          <t>DIRECCION ECONOMIA</t>
        </is>
      </c>
      <c r="C218" s="9" t="inlineStr">
        <is>
          <t>DE-38</t>
        </is>
      </c>
      <c r="D218" s="10" t="inlineStr">
        <is>
          <t>SILLA GIRATORIA</t>
        </is>
      </c>
      <c r="E218" s="10" t="inlineStr">
        <is>
          <t>MOBILIARIO</t>
        </is>
      </c>
      <c r="F218" s="9" t="inlineStr">
        <is>
          <t>SERVICIO</t>
        </is>
      </c>
      <c r="G218" s="10" t="inlineStr">
        <is>
          <t>DEPARTAMENTO FINANZAS</t>
        </is>
      </c>
      <c r="H218" s="10" t="inlineStr">
        <is>
          <t>Ergosillas</t>
        </is>
      </c>
      <c r="I218" s="10" t="inlineStr">
        <is>
          <t>Pro Ergo 120</t>
        </is>
      </c>
      <c r="J218" s="9" t="inlineStr">
        <is>
          <t>SN-DE38-7255</t>
        </is>
      </c>
      <c r="K218" s="11" t="n">
        <v>44822</v>
      </c>
      <c r="L218" s="12" t="n">
        <v>109900</v>
      </c>
      <c r="M218" s="10" t="inlineStr">
        <is>
          <t>JEFE DPTO. FINANZAS</t>
        </is>
      </c>
    </row>
    <row r="219">
      <c r="A219" s="13" t="n">
        <v>215</v>
      </c>
      <c r="B219" s="14" t="inlineStr">
        <is>
          <t>DIRECCION ECONOMIA</t>
        </is>
      </c>
      <c r="C219" s="13" t="inlineStr">
        <is>
          <t>DE-39</t>
        </is>
      </c>
      <c r="D219" s="14" t="inlineStr">
        <is>
          <t>SILLA GIRATORIA</t>
        </is>
      </c>
      <c r="E219" s="14" t="inlineStr">
        <is>
          <t>MOBILIARIO</t>
        </is>
      </c>
      <c r="F219" s="13" t="inlineStr">
        <is>
          <t>SERVICIO</t>
        </is>
      </c>
      <c r="G219" s="14" t="inlineStr">
        <is>
          <t>DEPARTAMENTO FINANZAS</t>
        </is>
      </c>
      <c r="H219" s="14" t="inlineStr">
        <is>
          <t>Ergosillas</t>
        </is>
      </c>
      <c r="I219" s="14" t="inlineStr">
        <is>
          <t>Pro Ergo 120</t>
        </is>
      </c>
      <c r="J219" s="13" t="inlineStr">
        <is>
          <t>SN-DE39-7392</t>
        </is>
      </c>
      <c r="K219" s="15" t="n">
        <v>44827</v>
      </c>
      <c r="L219" s="16" t="n">
        <v>109900</v>
      </c>
      <c r="M219" s="14" t="inlineStr">
        <is>
          <t>JEFE DPTO. FINANZAS</t>
        </is>
      </c>
    </row>
    <row r="220">
      <c r="A220" s="9" t="n">
        <v>216</v>
      </c>
      <c r="B220" s="10" t="inlineStr">
        <is>
          <t>DIRECCION ECONOMIA</t>
        </is>
      </c>
      <c r="C220" s="9" t="inlineStr">
        <is>
          <t>DE-40</t>
        </is>
      </c>
      <c r="D220" s="10" t="inlineStr">
        <is>
          <t>SILLA GIRATORIA</t>
        </is>
      </c>
      <c r="E220" s="10" t="inlineStr">
        <is>
          <t>MOBILIARIO</t>
        </is>
      </c>
      <c r="F220" s="9" t="inlineStr">
        <is>
          <t>SERVICIO</t>
        </is>
      </c>
      <c r="G220" s="10" t="inlineStr">
        <is>
          <t>DEPARTAMENTO FINANZAS</t>
        </is>
      </c>
      <c r="H220" s="10" t="inlineStr">
        <is>
          <t>Ergosillas</t>
        </is>
      </c>
      <c r="I220" s="10" t="inlineStr">
        <is>
          <t>Pro Ergo 120</t>
        </is>
      </c>
      <c r="J220" s="9" t="inlineStr">
        <is>
          <t>SN-DE40-7529</t>
        </is>
      </c>
      <c r="K220" s="11" t="n">
        <v>44817</v>
      </c>
      <c r="L220" s="12" t="n">
        <v>109900</v>
      </c>
      <c r="M220" s="10" t="inlineStr">
        <is>
          <t>JEFE DPTO. FINANZAS</t>
        </is>
      </c>
    </row>
    <row r="221">
      <c r="A221" s="13" t="n">
        <v>217</v>
      </c>
      <c r="B221" s="14" t="inlineStr">
        <is>
          <t>DIRECCION ECONOMIA</t>
        </is>
      </c>
      <c r="C221" s="13" t="inlineStr">
        <is>
          <t>DE-41</t>
        </is>
      </c>
      <c r="D221" s="14" t="inlineStr">
        <is>
          <t>1 EQUIPO CLIMA 12000 BTU</t>
        </is>
      </c>
      <c r="E221" s="14" t="inlineStr">
        <is>
          <t>EQUIPOS DE CLIMATIZACION Y REFRIGERACION</t>
        </is>
      </c>
      <c r="F221" s="13" t="inlineStr">
        <is>
          <t>SERVICIO</t>
        </is>
      </c>
      <c r="G221" s="14" t="inlineStr">
        <is>
          <t>DEPARTAMENTO FINANZAS</t>
        </is>
      </c>
      <c r="H221" s="14" t="inlineStr">
        <is>
          <t>Midea</t>
        </is>
      </c>
      <c r="I221" s="14" t="inlineStr">
        <is>
          <t>Xtreme Save 12.000 BTU</t>
        </is>
      </c>
      <c r="J221" s="13" t="inlineStr">
        <is>
          <t>SN-DE41-7666</t>
        </is>
      </c>
      <c r="K221" s="15" t="n">
        <v>44822</v>
      </c>
      <c r="L221" s="16" t="n">
        <v>389900</v>
      </c>
      <c r="M221" s="14" t="inlineStr">
        <is>
          <t>JEFE DPTO. FINANZAS</t>
        </is>
      </c>
    </row>
    <row r="222">
      <c r="A222" s="9" t="n">
        <v>218</v>
      </c>
      <c r="B222" s="10" t="inlineStr">
        <is>
          <t>DIRECCION ECONOMIA</t>
        </is>
      </c>
      <c r="C222" s="9" t="inlineStr">
        <is>
          <t>DE-42</t>
        </is>
      </c>
      <c r="D222" s="10" t="inlineStr">
        <is>
          <t>PC ESCRITORIO</t>
        </is>
      </c>
      <c r="E222" s="10" t="inlineStr">
        <is>
          <t>INFORMATICA</t>
        </is>
      </c>
      <c r="F222" s="9" t="inlineStr">
        <is>
          <t>SERVICIO</t>
        </is>
      </c>
      <c r="G222" s="10" t="inlineStr">
        <is>
          <t>DEPARTAMENTO FINANZAS</t>
        </is>
      </c>
      <c r="H222" s="10" t="inlineStr">
        <is>
          <t>HP</t>
        </is>
      </c>
      <c r="I222" s="10" t="inlineStr">
        <is>
          <t>ProDesk 400 G9 SFF</t>
        </is>
      </c>
      <c r="J222" s="9" t="inlineStr">
        <is>
          <t>SN-DE42-7803</t>
        </is>
      </c>
      <c r="K222" s="11" t="n">
        <v>44827</v>
      </c>
      <c r="L222" s="12" t="n">
        <v>549900</v>
      </c>
      <c r="M222" s="10" t="inlineStr">
        <is>
          <t>JEFE DPTO. FINANZAS</t>
        </is>
      </c>
    </row>
    <row r="223">
      <c r="A223" s="13" t="n">
        <v>219</v>
      </c>
      <c r="B223" s="14" t="inlineStr">
        <is>
          <t>DIRECCION ECONOMIA</t>
        </is>
      </c>
      <c r="C223" s="13" t="inlineStr">
        <is>
          <t>DE-43</t>
        </is>
      </c>
      <c r="D223" s="14" t="inlineStr">
        <is>
          <t>PC ESCRITORIO</t>
        </is>
      </c>
      <c r="E223" s="14" t="inlineStr">
        <is>
          <t>INFORMATICA</t>
        </is>
      </c>
      <c r="F223" s="13" t="inlineStr">
        <is>
          <t>SERVICIO</t>
        </is>
      </c>
      <c r="G223" s="14" t="inlineStr">
        <is>
          <t>DEPARTAMENTO FINANZAS</t>
        </is>
      </c>
      <c r="H223" s="14" t="inlineStr">
        <is>
          <t>HP</t>
        </is>
      </c>
      <c r="I223" s="14" t="inlineStr">
        <is>
          <t>ProDesk 400 G9 SFF</t>
        </is>
      </c>
      <c r="J223" s="13" t="inlineStr">
        <is>
          <t>SN-DE43-7940</t>
        </is>
      </c>
      <c r="K223" s="15" t="n">
        <v>44817</v>
      </c>
      <c r="L223" s="16" t="n">
        <v>549900</v>
      </c>
      <c r="M223" s="14" t="inlineStr">
        <is>
          <t>JEFE DPTO. FINANZAS</t>
        </is>
      </c>
    </row>
    <row r="224">
      <c r="A224" s="9" t="n">
        <v>220</v>
      </c>
      <c r="B224" s="10" t="inlineStr">
        <is>
          <t>DIRECCION ECONOMIA</t>
        </is>
      </c>
      <c r="C224" s="9" t="inlineStr">
        <is>
          <t>DE-44</t>
        </is>
      </c>
      <c r="D224" s="10" t="inlineStr">
        <is>
          <t>PC ESCRITORIO</t>
        </is>
      </c>
      <c r="E224" s="10" t="inlineStr">
        <is>
          <t>INFORMATICA</t>
        </is>
      </c>
      <c r="F224" s="9" t="inlineStr">
        <is>
          <t>SERVICIO</t>
        </is>
      </c>
      <c r="G224" s="10" t="inlineStr">
        <is>
          <t>DEPARTAMENTO FINANZAS</t>
        </is>
      </c>
      <c r="H224" s="10" t="inlineStr">
        <is>
          <t>HP</t>
        </is>
      </c>
      <c r="I224" s="10" t="inlineStr">
        <is>
          <t>ProDesk 400 G9 SFF</t>
        </is>
      </c>
      <c r="J224" s="9" t="inlineStr">
        <is>
          <t>SN-DE44-8077</t>
        </is>
      </c>
      <c r="K224" s="11" t="n">
        <v>44822</v>
      </c>
      <c r="L224" s="12" t="n">
        <v>549900</v>
      </c>
      <c r="M224" s="10" t="inlineStr">
        <is>
          <t>JEFE DPTO. FINANZAS</t>
        </is>
      </c>
    </row>
    <row r="225">
      <c r="A225" s="13" t="n">
        <v>221</v>
      </c>
      <c r="B225" s="14" t="inlineStr">
        <is>
          <t>DIRECCION ECONOMIA</t>
        </is>
      </c>
      <c r="C225" s="13" t="inlineStr">
        <is>
          <t>DE-45</t>
        </is>
      </c>
      <c r="D225" s="14" t="inlineStr">
        <is>
          <t>PC ESCRITORIO</t>
        </is>
      </c>
      <c r="E225" s="14" t="inlineStr">
        <is>
          <t>INFORMATICA</t>
        </is>
      </c>
      <c r="F225" s="13" t="inlineStr">
        <is>
          <t>SERVICIO</t>
        </is>
      </c>
      <c r="G225" s="14" t="inlineStr">
        <is>
          <t>DEPARTAMENTO FINANZAS</t>
        </is>
      </c>
      <c r="H225" s="14" t="inlineStr">
        <is>
          <t>HP</t>
        </is>
      </c>
      <c r="I225" s="14" t="inlineStr">
        <is>
          <t>ProDesk 400 G9 SFF</t>
        </is>
      </c>
      <c r="J225" s="13" t="inlineStr">
        <is>
          <t>SN-DE45-8214</t>
        </is>
      </c>
      <c r="K225" s="15" t="n">
        <v>44827</v>
      </c>
      <c r="L225" s="16" t="n">
        <v>549900</v>
      </c>
      <c r="M225" s="14" t="inlineStr">
        <is>
          <t>JEFE DPTO. FINANZAS</t>
        </is>
      </c>
    </row>
    <row r="226">
      <c r="A226" s="9" t="n">
        <v>222</v>
      </c>
      <c r="B226" s="10" t="inlineStr">
        <is>
          <t>DIRECCION ECONOMIA</t>
        </is>
      </c>
      <c r="C226" s="9" t="inlineStr">
        <is>
          <t>DE-46</t>
        </is>
      </c>
      <c r="D226" s="10" t="inlineStr">
        <is>
          <t>CREDENZAS METALICAS</t>
        </is>
      </c>
      <c r="E226" s="10" t="inlineStr">
        <is>
          <t>MOBILIARIO</t>
        </is>
      </c>
      <c r="F226" s="9" t="inlineStr">
        <is>
          <t>SERVICIO</t>
        </is>
      </c>
      <c r="G226" s="10" t="inlineStr">
        <is>
          <t>DEPARTAMENTO FINANZAS</t>
        </is>
      </c>
      <c r="H226" s="10" t="inlineStr">
        <is>
          <t>Dimeiggs</t>
        </is>
      </c>
      <c r="I226" s="10" t="inlineStr">
        <is>
          <t>Credenza Metalica CRD-2P</t>
        </is>
      </c>
      <c r="J226" s="9" t="inlineStr">
        <is>
          <t>SN-DE46-8351</t>
        </is>
      </c>
      <c r="K226" s="11" t="n">
        <v>44817</v>
      </c>
      <c r="L226" s="12" t="n">
        <v>189900</v>
      </c>
      <c r="M226" s="10" t="inlineStr">
        <is>
          <t>JEFE DPTO. FINANZAS</t>
        </is>
      </c>
    </row>
    <row r="227">
      <c r="A227" s="13" t="n">
        <v>223</v>
      </c>
      <c r="B227" s="14" t="inlineStr">
        <is>
          <t>DIRECCION ECONOMIA</t>
        </is>
      </c>
      <c r="C227" s="13" t="inlineStr">
        <is>
          <t>DE-47</t>
        </is>
      </c>
      <c r="D227" s="14" t="inlineStr">
        <is>
          <t>CREDENZAS METALICAS</t>
        </is>
      </c>
      <c r="E227" s="14" t="inlineStr">
        <is>
          <t>MOBILIARIO</t>
        </is>
      </c>
      <c r="F227" s="13" t="inlineStr">
        <is>
          <t>SERVICIO</t>
        </is>
      </c>
      <c r="G227" s="14" t="inlineStr">
        <is>
          <t>DEPARTAMENTO FINANZAS</t>
        </is>
      </c>
      <c r="H227" s="14" t="inlineStr">
        <is>
          <t>Dimeiggs</t>
        </is>
      </c>
      <c r="I227" s="14" t="inlineStr">
        <is>
          <t>Credenza Metalica CRD-2P</t>
        </is>
      </c>
      <c r="J227" s="13" t="inlineStr">
        <is>
          <t>SN-DE47-8488</t>
        </is>
      </c>
      <c r="K227" s="15" t="n">
        <v>44822</v>
      </c>
      <c r="L227" s="16" t="n">
        <v>189900</v>
      </c>
      <c r="M227" s="14" t="inlineStr">
        <is>
          <t>JEFE DPTO. FINANZAS</t>
        </is>
      </c>
    </row>
    <row r="228">
      <c r="A228" s="9" t="n">
        <v>224</v>
      </c>
      <c r="B228" s="10" t="inlineStr">
        <is>
          <t>DIRECCION ECONOMIA</t>
        </is>
      </c>
      <c r="C228" s="9" t="inlineStr">
        <is>
          <t>DE-48</t>
        </is>
      </c>
      <c r="D228" s="10" t="inlineStr">
        <is>
          <t>CREDENZAS METALICAS</t>
        </is>
      </c>
      <c r="E228" s="10" t="inlineStr">
        <is>
          <t>MOBILIARIO</t>
        </is>
      </c>
      <c r="F228" s="9" t="inlineStr">
        <is>
          <t>SERVICIO</t>
        </is>
      </c>
      <c r="G228" s="10" t="inlineStr">
        <is>
          <t>DEPARTAMENTO FINANZAS</t>
        </is>
      </c>
      <c r="H228" s="10" t="inlineStr">
        <is>
          <t>Dimeiggs</t>
        </is>
      </c>
      <c r="I228" s="10" t="inlineStr">
        <is>
          <t>Credenza Metalica CRD-2P</t>
        </is>
      </c>
      <c r="J228" s="9" t="inlineStr">
        <is>
          <t>SN-DE48-8625</t>
        </is>
      </c>
      <c r="K228" s="11" t="n">
        <v>44827</v>
      </c>
      <c r="L228" s="12" t="n">
        <v>189900</v>
      </c>
      <c r="M228" s="10" t="inlineStr">
        <is>
          <t>JEFE DPTO. FINANZAS</t>
        </is>
      </c>
    </row>
    <row r="229">
      <c r="A229" s="13" t="n">
        <v>225</v>
      </c>
      <c r="B229" s="14" t="inlineStr">
        <is>
          <t>DIRECCION ECONOMIA</t>
        </is>
      </c>
      <c r="C229" s="13" t="inlineStr">
        <is>
          <t>DE-49</t>
        </is>
      </c>
      <c r="D229" s="14" t="inlineStr">
        <is>
          <t>CREDENZAS METALICAS</t>
        </is>
      </c>
      <c r="E229" s="14" t="inlineStr">
        <is>
          <t>MOBILIARIO</t>
        </is>
      </c>
      <c r="F229" s="13" t="inlineStr">
        <is>
          <t>SERVICIO</t>
        </is>
      </c>
      <c r="G229" s="14" t="inlineStr">
        <is>
          <t>DEPARTAMENTO FINANZAS</t>
        </is>
      </c>
      <c r="H229" s="14" t="inlineStr">
        <is>
          <t>Dimeiggs</t>
        </is>
      </c>
      <c r="I229" s="14" t="inlineStr">
        <is>
          <t>Credenza Metalica CRD-2P</t>
        </is>
      </c>
      <c r="J229" s="13" t="inlineStr">
        <is>
          <t>SN-DE49-8762</t>
        </is>
      </c>
      <c r="K229" s="15" t="n">
        <v>44817</v>
      </c>
      <c r="L229" s="16" t="n">
        <v>189900</v>
      </c>
      <c r="M229" s="14" t="inlineStr">
        <is>
          <t>JEFE DPTO. FINANZAS</t>
        </is>
      </c>
    </row>
    <row r="230">
      <c r="A230" s="21" t="n">
        <v>226</v>
      </c>
      <c r="B230" s="22" t="inlineStr">
        <is>
          <t>DIRECCION LOGISTICA</t>
        </is>
      </c>
      <c r="C230" s="21" t="inlineStr">
        <is>
          <t>DL-01</t>
        </is>
      </c>
      <c r="D230" s="22" t="inlineStr">
        <is>
          <t>1 LAPTOP</t>
        </is>
      </c>
      <c r="E230" s="25" t="inlineStr">
        <is>
          <t>INFORMATICA</t>
        </is>
      </c>
      <c r="F230" s="26" t="inlineStr">
        <is>
          <t>SERVICIO</t>
        </is>
      </c>
      <c r="G230" s="22" t="inlineStr">
        <is>
          <t>OFICINA DIRECTOR LOGISTICA</t>
        </is>
      </c>
      <c r="H230" s="22" t="inlineStr">
        <is>
          <t>Lenovo</t>
        </is>
      </c>
      <c r="I230" s="22" t="inlineStr">
        <is>
          <t>ThinkPad E14 Gen 5</t>
        </is>
      </c>
      <c r="J230" s="21" t="inlineStr">
        <is>
          <t>SN-DL01-2186</t>
        </is>
      </c>
      <c r="K230" s="23" t="n">
        <v>44425</v>
      </c>
      <c r="L230" s="24" t="n">
        <v>749900</v>
      </c>
      <c r="M230" s="22" t="inlineStr">
        <is>
          <t>DIRECTOR LOGISTICA</t>
        </is>
      </c>
    </row>
    <row r="231">
      <c r="A231" s="13" t="n">
        <v>227</v>
      </c>
      <c r="B231" s="14" t="inlineStr">
        <is>
          <t>DIRECCION LOGISTICA</t>
        </is>
      </c>
      <c r="C231" s="13" t="inlineStr">
        <is>
          <t>DL-02</t>
        </is>
      </c>
      <c r="D231" s="14" t="inlineStr">
        <is>
          <t>1 BURO</t>
        </is>
      </c>
      <c r="E231" s="19" t="inlineStr">
        <is>
          <t>MOBILIARIO</t>
        </is>
      </c>
      <c r="F231" s="18" t="inlineStr">
        <is>
          <t>SERVICIO</t>
        </is>
      </c>
      <c r="G231" s="14" t="inlineStr">
        <is>
          <t>OFICINA DIRECTOR LOGISTICA</t>
        </is>
      </c>
      <c r="H231" s="14" t="inlineStr">
        <is>
          <t>Rosen</t>
        </is>
      </c>
      <c r="I231" s="14" t="inlineStr">
        <is>
          <t>Buro Ejecutivo BR-120</t>
        </is>
      </c>
      <c r="J231" s="13" t="inlineStr">
        <is>
          <t>SN-DL02-2323</t>
        </is>
      </c>
      <c r="K231" s="15" t="n">
        <v>44430</v>
      </c>
      <c r="L231" s="16" t="n">
        <v>159900</v>
      </c>
      <c r="M231" s="14" t="inlineStr">
        <is>
          <t>DIRECTOR LOGISTICA</t>
        </is>
      </c>
    </row>
    <row r="232">
      <c r="A232" s="9" t="n">
        <v>228</v>
      </c>
      <c r="B232" s="10" t="inlineStr">
        <is>
          <t>DIRECCION LOGISTICA</t>
        </is>
      </c>
      <c r="C232" s="9" t="inlineStr">
        <is>
          <t>DL-03</t>
        </is>
      </c>
      <c r="D232" s="10" t="inlineStr">
        <is>
          <t>1 SILLA GIRATORIA</t>
        </is>
      </c>
      <c r="E232" s="19" t="inlineStr">
        <is>
          <t>MOBILIARIO</t>
        </is>
      </c>
      <c r="F232" s="18" t="inlineStr">
        <is>
          <t>SERVICIO</t>
        </is>
      </c>
      <c r="G232" s="10" t="inlineStr">
        <is>
          <t>OFICINA DIRECTOR LOGISTICA</t>
        </is>
      </c>
      <c r="H232" s="10" t="inlineStr">
        <is>
          <t>Ergosillas</t>
        </is>
      </c>
      <c r="I232" s="10" t="inlineStr">
        <is>
          <t>Pro Ergo 120</t>
        </is>
      </c>
      <c r="J232" s="9" t="inlineStr">
        <is>
          <t>SN-DL03-2460</t>
        </is>
      </c>
      <c r="K232" s="11" t="n">
        <v>44435</v>
      </c>
      <c r="L232" s="12" t="n">
        <v>109900</v>
      </c>
      <c r="M232" s="10" t="inlineStr">
        <is>
          <t>DIRECTOR LOGISTICA</t>
        </is>
      </c>
    </row>
    <row r="233">
      <c r="A233" s="13" t="n">
        <v>229</v>
      </c>
      <c r="B233" s="14" t="inlineStr">
        <is>
          <t>DIRECCION LOGISTICA</t>
        </is>
      </c>
      <c r="C233" s="13" t="inlineStr">
        <is>
          <t>DL-04</t>
        </is>
      </c>
      <c r="D233" s="14" t="inlineStr">
        <is>
          <t>1 CREDENZA METALICA</t>
        </is>
      </c>
      <c r="E233" s="19" t="inlineStr">
        <is>
          <t>MOBILIARIO</t>
        </is>
      </c>
      <c r="F233" s="18" t="inlineStr">
        <is>
          <t>SERVICIO</t>
        </is>
      </c>
      <c r="G233" s="14" t="inlineStr">
        <is>
          <t>OFICINA DIRECTOR LOGISTICA</t>
        </is>
      </c>
      <c r="H233" s="14" t="inlineStr">
        <is>
          <t>Dimeiggs</t>
        </is>
      </c>
      <c r="I233" s="14" t="inlineStr">
        <is>
          <t>Credenza Metalica CRD-2P</t>
        </is>
      </c>
      <c r="J233" s="13" t="inlineStr">
        <is>
          <t>SN-DL04-2597</t>
        </is>
      </c>
      <c r="K233" s="15" t="n">
        <v>44425</v>
      </c>
      <c r="L233" s="16" t="n">
        <v>189900</v>
      </c>
      <c r="M233" s="14" t="inlineStr">
        <is>
          <t>DIRECTOR LOGISTICA</t>
        </is>
      </c>
    </row>
    <row r="234">
      <c r="A234" s="9" t="n">
        <v>230</v>
      </c>
      <c r="B234" s="10" t="inlineStr">
        <is>
          <t>DIRECCION LOGISTICA</t>
        </is>
      </c>
      <c r="C234" s="9" t="inlineStr">
        <is>
          <t>DL-05</t>
        </is>
      </c>
      <c r="D234" s="10" t="inlineStr">
        <is>
          <t>1 IMPRESORA</t>
        </is>
      </c>
      <c r="E234" s="19" t="inlineStr">
        <is>
          <t>INFORMATICA</t>
        </is>
      </c>
      <c r="F234" s="18" t="inlineStr">
        <is>
          <t>SERVICIO</t>
        </is>
      </c>
      <c r="G234" s="10" t="inlineStr">
        <is>
          <t>OFICINA DIRECTOR LOGISTICA</t>
        </is>
      </c>
      <c r="H234" s="10" t="inlineStr">
        <is>
          <t>Epson</t>
        </is>
      </c>
      <c r="I234" s="10" t="inlineStr">
        <is>
          <t>EcoTank L3250</t>
        </is>
      </c>
      <c r="J234" s="9" t="inlineStr">
        <is>
          <t>SN-DL05-2734</t>
        </is>
      </c>
      <c r="K234" s="11" t="n">
        <v>44430</v>
      </c>
      <c r="L234" s="12" t="n">
        <v>179900</v>
      </c>
      <c r="M234" s="10" t="inlineStr">
        <is>
          <t>DIRECTOR LOGISTICA</t>
        </is>
      </c>
    </row>
    <row r="235">
      <c r="A235" s="13" t="n">
        <v>231</v>
      </c>
      <c r="B235" s="14" t="inlineStr">
        <is>
          <t>DIRECCION LOGISTICA</t>
        </is>
      </c>
      <c r="C235" s="13" t="inlineStr">
        <is>
          <t>DL-06</t>
        </is>
      </c>
      <c r="D235" s="14" t="inlineStr">
        <is>
          <t>1 SOFA 3 PLAZAS</t>
        </is>
      </c>
      <c r="E235" s="19" t="inlineStr">
        <is>
          <t>MOBILIARIO</t>
        </is>
      </c>
      <c r="F235" s="18" t="inlineStr">
        <is>
          <t>SERVICIO</t>
        </is>
      </c>
      <c r="G235" s="14" t="inlineStr">
        <is>
          <t>OFICINA DIRECTOR LOGISTICA</t>
        </is>
      </c>
      <c r="H235" s="14" t="inlineStr">
        <is>
          <t>Rosen</t>
        </is>
      </c>
      <c r="I235" s="14" t="inlineStr">
        <is>
          <t>Milano 3 Cuerpos</t>
        </is>
      </c>
      <c r="J235" s="13" t="inlineStr">
        <is>
          <t>SN-DL06-2871</t>
        </is>
      </c>
      <c r="K235" s="15" t="n">
        <v>44435</v>
      </c>
      <c r="L235" s="16" t="n">
        <v>429900</v>
      </c>
      <c r="M235" s="14" t="inlineStr">
        <is>
          <t>DIRECTOR LOGISTICA</t>
        </is>
      </c>
    </row>
    <row r="236">
      <c r="A236" s="9" t="n">
        <v>232</v>
      </c>
      <c r="B236" s="10" t="inlineStr">
        <is>
          <t>DIRECCION LOGISTICA</t>
        </is>
      </c>
      <c r="C236" s="9" t="inlineStr">
        <is>
          <t>DL-07</t>
        </is>
      </c>
      <c r="D236" s="10" t="inlineStr">
        <is>
          <t>1 EQUIPO CLIMA 12000 BTU</t>
        </is>
      </c>
      <c r="E236" s="19" t="inlineStr">
        <is>
          <t>EQUIPOS DE CLIMATIZACION Y REFRIGERACION</t>
        </is>
      </c>
      <c r="F236" s="18" t="inlineStr">
        <is>
          <t>SERVICIO</t>
        </is>
      </c>
      <c r="G236" s="10" t="inlineStr">
        <is>
          <t>OFICINA DIRECTOR LOGISTICA</t>
        </is>
      </c>
      <c r="H236" s="10" t="inlineStr">
        <is>
          <t>Midea</t>
        </is>
      </c>
      <c r="I236" s="10" t="inlineStr">
        <is>
          <t>Xtreme Save 12.000 BTU</t>
        </is>
      </c>
      <c r="J236" s="9" t="inlineStr">
        <is>
          <t>SN-DL07-3008</t>
        </is>
      </c>
      <c r="K236" s="11" t="n">
        <v>44425</v>
      </c>
      <c r="L236" s="12" t="n">
        <v>389900</v>
      </c>
      <c r="M236" s="10" t="inlineStr">
        <is>
          <t>DIRECTOR LOGISTICA</t>
        </is>
      </c>
    </row>
    <row r="237">
      <c r="A237" s="13" t="n">
        <v>233</v>
      </c>
      <c r="B237" s="14" t="inlineStr">
        <is>
          <t>DIRECCION LOGISTICA</t>
        </is>
      </c>
      <c r="C237" s="13" t="inlineStr">
        <is>
          <t>DL-08</t>
        </is>
      </c>
      <c r="D237" s="14" t="inlineStr">
        <is>
          <t>BUTACA CON BRAZOS</t>
        </is>
      </c>
      <c r="E237" s="19" t="inlineStr">
        <is>
          <t>MOBILIARIO</t>
        </is>
      </c>
      <c r="F237" s="18" t="inlineStr">
        <is>
          <t>SERVICIO</t>
        </is>
      </c>
      <c r="G237" s="14" t="inlineStr">
        <is>
          <t>OFICINA DIRECTOR LOGISTICA</t>
        </is>
      </c>
      <c r="H237" s="14" t="inlineStr">
        <is>
          <t>Mica</t>
        </is>
      </c>
      <c r="I237" s="14" t="inlineStr">
        <is>
          <t>Oslo con Brazos</t>
        </is>
      </c>
      <c r="J237" s="13" t="inlineStr">
        <is>
          <t>SN-DL08-3145</t>
        </is>
      </c>
      <c r="K237" s="15" t="n">
        <v>44430</v>
      </c>
      <c r="L237" s="16" t="n">
        <v>94990</v>
      </c>
      <c r="M237" s="14" t="inlineStr">
        <is>
          <t>DIRECTOR LOGISTICA</t>
        </is>
      </c>
    </row>
    <row r="238">
      <c r="A238" s="9" t="n">
        <v>234</v>
      </c>
      <c r="B238" s="10" t="inlineStr">
        <is>
          <t>DIRECCION LOGISTICA</t>
        </is>
      </c>
      <c r="C238" s="9" t="inlineStr">
        <is>
          <t>DL-09</t>
        </is>
      </c>
      <c r="D238" s="10" t="inlineStr">
        <is>
          <t>BUTACA CON BRAZOS</t>
        </is>
      </c>
      <c r="E238" s="19" t="inlineStr">
        <is>
          <t>MOBILIARIO</t>
        </is>
      </c>
      <c r="F238" s="18" t="inlineStr">
        <is>
          <t>SERVICIO</t>
        </is>
      </c>
      <c r="G238" s="10" t="inlineStr">
        <is>
          <t>OFICINA DIRECTOR LOGISTICA</t>
        </is>
      </c>
      <c r="H238" s="10" t="inlineStr">
        <is>
          <t>Mica</t>
        </is>
      </c>
      <c r="I238" s="10" t="inlineStr">
        <is>
          <t>Oslo con Brazos</t>
        </is>
      </c>
      <c r="J238" s="9" t="inlineStr">
        <is>
          <t>SN-DL09-3282</t>
        </is>
      </c>
      <c r="K238" s="11" t="n">
        <v>44435</v>
      </c>
      <c r="L238" s="12" t="n">
        <v>94990</v>
      </c>
      <c r="M238" s="10" t="inlineStr">
        <is>
          <t>DIRECTOR LOGISTICA</t>
        </is>
      </c>
    </row>
    <row r="239">
      <c r="A239" s="13" t="n">
        <v>235</v>
      </c>
      <c r="B239" s="14" t="inlineStr">
        <is>
          <t>DIRECCION LOGISTICA</t>
        </is>
      </c>
      <c r="C239" s="13" t="inlineStr">
        <is>
          <t>DL-10</t>
        </is>
      </c>
      <c r="D239" s="14" t="inlineStr">
        <is>
          <t>1 PC ESCRITORIO</t>
        </is>
      </c>
      <c r="E239" s="19" t="inlineStr">
        <is>
          <t>INFORMATICA</t>
        </is>
      </c>
      <c r="F239" s="18" t="inlineStr">
        <is>
          <t>SERVICIO</t>
        </is>
      </c>
      <c r="G239" s="14" t="inlineStr">
        <is>
          <t>DEPARTAMENTO TRANSPORTE</t>
        </is>
      </c>
      <c r="H239" s="14" t="inlineStr">
        <is>
          <t>HP</t>
        </is>
      </c>
      <c r="I239" s="14" t="inlineStr">
        <is>
          <t>ProDesk 400 G9 SFF</t>
        </is>
      </c>
      <c r="J239" s="13" t="inlineStr">
        <is>
          <t>SN-DL10-3419</t>
        </is>
      </c>
      <c r="K239" s="15" t="n">
        <v>44657</v>
      </c>
      <c r="L239" s="16" t="n">
        <v>549900</v>
      </c>
      <c r="M239" s="14" t="inlineStr">
        <is>
          <t>DIRECTOR TRANSPORTE</t>
        </is>
      </c>
    </row>
    <row r="240">
      <c r="A240" s="9" t="n">
        <v>236</v>
      </c>
      <c r="B240" s="10" t="inlineStr">
        <is>
          <t>DIRECCION LOGISTICA</t>
        </is>
      </c>
      <c r="C240" s="9" t="inlineStr">
        <is>
          <t>DL-11</t>
        </is>
      </c>
      <c r="D240" s="10" t="inlineStr">
        <is>
          <t>1 BURO</t>
        </is>
      </c>
      <c r="E240" s="19" t="inlineStr">
        <is>
          <t>MOBILIARIO</t>
        </is>
      </c>
      <c r="F240" s="18" t="inlineStr">
        <is>
          <t>SERVICIO</t>
        </is>
      </c>
      <c r="G240" s="10" t="inlineStr">
        <is>
          <t>DEPARTAMENTO TRANSPORTE</t>
        </is>
      </c>
      <c r="H240" s="10" t="inlineStr">
        <is>
          <t>Rosen</t>
        </is>
      </c>
      <c r="I240" s="10" t="inlineStr">
        <is>
          <t>Buro Ejecutivo BR-120</t>
        </is>
      </c>
      <c r="J240" s="9" t="inlineStr">
        <is>
          <t>SN-DL11-3556</t>
        </is>
      </c>
      <c r="K240" s="11" t="n">
        <v>44662</v>
      </c>
      <c r="L240" s="12" t="n">
        <v>159900</v>
      </c>
      <c r="M240" s="10" t="inlineStr">
        <is>
          <t>DIRECTOR TRANSPORTE</t>
        </is>
      </c>
    </row>
    <row r="241">
      <c r="A241" s="13" t="n">
        <v>237</v>
      </c>
      <c r="B241" s="14" t="inlineStr">
        <is>
          <t>DIRECCION LOGISTICA</t>
        </is>
      </c>
      <c r="C241" s="13" t="inlineStr">
        <is>
          <t>DL-12</t>
        </is>
      </c>
      <c r="D241" s="14" t="inlineStr">
        <is>
          <t>1 SILLA GIRATORIA</t>
        </is>
      </c>
      <c r="E241" s="19" t="inlineStr">
        <is>
          <t>MOBILIARIO</t>
        </is>
      </c>
      <c r="F241" s="18" t="inlineStr">
        <is>
          <t>SERVICIO</t>
        </is>
      </c>
      <c r="G241" s="14" t="inlineStr">
        <is>
          <t>DEPARTAMENTO TRANSPORTE</t>
        </is>
      </c>
      <c r="H241" s="14" t="inlineStr">
        <is>
          <t>Ergosillas</t>
        </is>
      </c>
      <c r="I241" s="14" t="inlineStr">
        <is>
          <t>Pro Ergo 120</t>
        </is>
      </c>
      <c r="J241" s="13" t="inlineStr">
        <is>
          <t>SN-DL12-3693</t>
        </is>
      </c>
      <c r="K241" s="15" t="n">
        <v>44667</v>
      </c>
      <c r="L241" s="16" t="n">
        <v>109900</v>
      </c>
      <c r="M241" s="14" t="inlineStr">
        <is>
          <t>DIRECTOR TRANSPORTE</t>
        </is>
      </c>
    </row>
    <row r="242">
      <c r="A242" s="9" t="n">
        <v>238</v>
      </c>
      <c r="B242" s="10" t="inlineStr">
        <is>
          <t>DIRECCION LOGISTICA</t>
        </is>
      </c>
      <c r="C242" s="9" t="inlineStr">
        <is>
          <t>DL-13</t>
        </is>
      </c>
      <c r="D242" s="10" t="inlineStr">
        <is>
          <t>1 CREDENZA METALICA</t>
        </is>
      </c>
      <c r="E242" s="19" t="inlineStr">
        <is>
          <t>MOBILIARIO</t>
        </is>
      </c>
      <c r="F242" s="18" t="inlineStr">
        <is>
          <t>SERVICIO</t>
        </is>
      </c>
      <c r="G242" s="10" t="inlineStr">
        <is>
          <t>DEPARTAMENTO TRANSPORTE</t>
        </is>
      </c>
      <c r="H242" s="10" t="inlineStr">
        <is>
          <t>Dimeiggs</t>
        </is>
      </c>
      <c r="I242" s="10" t="inlineStr">
        <is>
          <t>Credenza Metalica CRD-2P</t>
        </is>
      </c>
      <c r="J242" s="9" t="inlineStr">
        <is>
          <t>SN-DL13-3830</t>
        </is>
      </c>
      <c r="K242" s="11" t="n">
        <v>44657</v>
      </c>
      <c r="L242" s="12" t="n">
        <v>189900</v>
      </c>
      <c r="M242" s="10" t="inlineStr">
        <is>
          <t>DIRECTOR TRANSPORTE</t>
        </is>
      </c>
    </row>
    <row r="243">
      <c r="A243" s="13" t="n">
        <v>239</v>
      </c>
      <c r="B243" s="14" t="inlineStr">
        <is>
          <t>DIRECCION LOGISTICA</t>
        </is>
      </c>
      <c r="C243" s="13" t="inlineStr">
        <is>
          <t>DL-14</t>
        </is>
      </c>
      <c r="D243" s="14" t="inlineStr">
        <is>
          <t>1 IMPRESORA</t>
        </is>
      </c>
      <c r="E243" s="19" t="inlineStr">
        <is>
          <t>INFORMATICA</t>
        </is>
      </c>
      <c r="F243" s="18" t="inlineStr">
        <is>
          <t>SERVICIO</t>
        </is>
      </c>
      <c r="G243" s="14" t="inlineStr">
        <is>
          <t>DEPARTAMENTO TRANSPORTE</t>
        </is>
      </c>
      <c r="H243" s="14" t="inlineStr">
        <is>
          <t>Epson</t>
        </is>
      </c>
      <c r="I243" s="14" t="inlineStr">
        <is>
          <t>EcoTank L3250</t>
        </is>
      </c>
      <c r="J243" s="13" t="inlineStr">
        <is>
          <t>SN-DL14-3967</t>
        </is>
      </c>
      <c r="K243" s="15" t="n">
        <v>44662</v>
      </c>
      <c r="L243" s="16" t="n">
        <v>179900</v>
      </c>
      <c r="M243" s="14" t="inlineStr">
        <is>
          <t>DIRECTOR TRANSPORTE</t>
        </is>
      </c>
    </row>
    <row r="244">
      <c r="A244" s="9" t="n">
        <v>240</v>
      </c>
      <c r="B244" s="10" t="inlineStr">
        <is>
          <t>DIRECCION LOGISTICA</t>
        </is>
      </c>
      <c r="C244" s="9" t="inlineStr">
        <is>
          <t>DL-15</t>
        </is>
      </c>
      <c r="D244" s="10" t="inlineStr">
        <is>
          <t>1 VENTILADOR</t>
        </is>
      </c>
      <c r="E244" s="19" t="inlineStr">
        <is>
          <t>EQUIPOS DE CLIMATIZACION Y REFRIGERACION</t>
        </is>
      </c>
      <c r="F244" s="18" t="inlineStr">
        <is>
          <t>SERVICIO</t>
        </is>
      </c>
      <c r="G244" s="10" t="inlineStr">
        <is>
          <t>DEPARTAMENTO TRANSPORTE</t>
        </is>
      </c>
      <c r="H244" s="10" t="inlineStr">
        <is>
          <t>Recco</t>
        </is>
      </c>
      <c r="I244" s="10" t="inlineStr">
        <is>
          <t>RVP-45PM Pedestal</t>
        </is>
      </c>
      <c r="J244" s="9" t="inlineStr">
        <is>
          <t>SN-DL15-4104</t>
        </is>
      </c>
      <c r="K244" s="11" t="n">
        <v>44667</v>
      </c>
      <c r="L244" s="12" t="n">
        <v>39990</v>
      </c>
      <c r="M244" s="10" t="inlineStr">
        <is>
          <t>DIRECTOR TRANSPORTE</t>
        </is>
      </c>
    </row>
    <row r="245">
      <c r="A245" s="13" t="n">
        <v>241</v>
      </c>
      <c r="B245" s="14" t="inlineStr">
        <is>
          <t>DIRECCION LOGISTICA</t>
        </is>
      </c>
      <c r="C245" s="13" t="inlineStr">
        <is>
          <t>DL-16</t>
        </is>
      </c>
      <c r="D245" s="14" t="inlineStr">
        <is>
          <t>1 PC ESCRITORIO</t>
        </is>
      </c>
      <c r="E245" s="19" t="inlineStr">
        <is>
          <t>INFORMATICA</t>
        </is>
      </c>
      <c r="F245" s="18" t="inlineStr">
        <is>
          <t>SERVICIO</t>
        </is>
      </c>
      <c r="G245" s="14" t="inlineStr">
        <is>
          <t>ALMACEN JABONERIA</t>
        </is>
      </c>
      <c r="H245" s="14" t="inlineStr">
        <is>
          <t>HP</t>
        </is>
      </c>
      <c r="I245" s="14" t="inlineStr">
        <is>
          <t>ProDesk 400 G9 SFF</t>
        </is>
      </c>
      <c r="J245" s="13" t="inlineStr">
        <is>
          <t>SN-DL16-4241</t>
        </is>
      </c>
      <c r="K245" s="15" t="n">
        <v>44726</v>
      </c>
      <c r="L245" s="16" t="n">
        <v>549900</v>
      </c>
      <c r="M245" s="14" t="inlineStr">
        <is>
          <t>JEFE ALMACEN JABONERIA</t>
        </is>
      </c>
    </row>
    <row r="246">
      <c r="A246" s="9" t="n">
        <v>242</v>
      </c>
      <c r="B246" s="10" t="inlineStr">
        <is>
          <t>DIRECCION LOGISTICA</t>
        </is>
      </c>
      <c r="C246" s="9" t="inlineStr">
        <is>
          <t>DL-17</t>
        </is>
      </c>
      <c r="D246" s="10" t="inlineStr">
        <is>
          <t>1 BURO</t>
        </is>
      </c>
      <c r="E246" s="19" t="inlineStr">
        <is>
          <t>MOBILIARIO</t>
        </is>
      </c>
      <c r="F246" s="18" t="inlineStr">
        <is>
          <t>SERVICIO</t>
        </is>
      </c>
      <c r="G246" s="10" t="inlineStr">
        <is>
          <t>ALMACEN JABONERIA</t>
        </is>
      </c>
      <c r="H246" s="10" t="inlineStr">
        <is>
          <t>Rosen</t>
        </is>
      </c>
      <c r="I246" s="10" t="inlineStr">
        <is>
          <t>Buro Ejecutivo BR-120</t>
        </is>
      </c>
      <c r="J246" s="9" t="inlineStr">
        <is>
          <t>SN-DL17-4378</t>
        </is>
      </c>
      <c r="K246" s="11" t="n">
        <v>44731</v>
      </c>
      <c r="L246" s="12" t="n">
        <v>159900</v>
      </c>
      <c r="M246" s="10" t="inlineStr">
        <is>
          <t>JEFE ALMACEN JABONERIA</t>
        </is>
      </c>
    </row>
    <row r="247">
      <c r="A247" s="13" t="n">
        <v>243</v>
      </c>
      <c r="B247" s="14" t="inlineStr">
        <is>
          <t>DIRECCION LOGISTICA</t>
        </is>
      </c>
      <c r="C247" s="13" t="inlineStr">
        <is>
          <t>DL-18</t>
        </is>
      </c>
      <c r="D247" s="14" t="inlineStr">
        <is>
          <t>1 SILLA GIRATORIA</t>
        </is>
      </c>
      <c r="E247" s="19" t="inlineStr">
        <is>
          <t>MOBILIARIO</t>
        </is>
      </c>
      <c r="F247" s="18" t="inlineStr">
        <is>
          <t>SERVICIO</t>
        </is>
      </c>
      <c r="G247" s="14" t="inlineStr">
        <is>
          <t>ALMACEN JABONERIA</t>
        </is>
      </c>
      <c r="H247" s="14" t="inlineStr">
        <is>
          <t>Ergosillas</t>
        </is>
      </c>
      <c r="I247" s="14" t="inlineStr">
        <is>
          <t>Pro Ergo 120</t>
        </is>
      </c>
      <c r="J247" s="13" t="inlineStr">
        <is>
          <t>SN-DL18-4515</t>
        </is>
      </c>
      <c r="K247" s="15" t="n">
        <v>44736</v>
      </c>
      <c r="L247" s="16" t="n">
        <v>109900</v>
      </c>
      <c r="M247" s="14" t="inlineStr">
        <is>
          <t>JEFE ALMACEN JABONERIA</t>
        </is>
      </c>
    </row>
    <row r="248">
      <c r="A248" s="9" t="n">
        <v>244</v>
      </c>
      <c r="B248" s="10" t="inlineStr">
        <is>
          <t>DIRECCION LOGISTICA</t>
        </is>
      </c>
      <c r="C248" s="9" t="inlineStr">
        <is>
          <t>DL-19</t>
        </is>
      </c>
      <c r="D248" s="10" t="inlineStr">
        <is>
          <t>1 CREDENZA METALICA</t>
        </is>
      </c>
      <c r="E248" s="19" t="inlineStr">
        <is>
          <t>MOBILIARIO</t>
        </is>
      </c>
      <c r="F248" s="18" t="inlineStr">
        <is>
          <t>SERVICIO</t>
        </is>
      </c>
      <c r="G248" s="10" t="inlineStr">
        <is>
          <t>ALMACEN JABONERIA</t>
        </is>
      </c>
      <c r="H248" s="10" t="inlineStr">
        <is>
          <t>Dimeiggs</t>
        </is>
      </c>
      <c r="I248" s="10" t="inlineStr">
        <is>
          <t>Credenza Metalica CRD-2P</t>
        </is>
      </c>
      <c r="J248" s="9" t="inlineStr">
        <is>
          <t>SN-DL19-4652</t>
        </is>
      </c>
      <c r="K248" s="11" t="n">
        <v>44726</v>
      </c>
      <c r="L248" s="12" t="n">
        <v>189900</v>
      </c>
      <c r="M248" s="10" t="inlineStr">
        <is>
          <t>JEFE ALMACEN JABONERIA</t>
        </is>
      </c>
    </row>
    <row r="249">
      <c r="A249" s="13" t="n">
        <v>245</v>
      </c>
      <c r="B249" s="14" t="inlineStr">
        <is>
          <t>DIRECCION LOGISTICA</t>
        </is>
      </c>
      <c r="C249" s="13" t="inlineStr">
        <is>
          <t>DL-20</t>
        </is>
      </c>
      <c r="D249" s="14" t="inlineStr">
        <is>
          <t>1 IMPRESORA</t>
        </is>
      </c>
      <c r="E249" s="19" t="inlineStr">
        <is>
          <t>INFORMATICA</t>
        </is>
      </c>
      <c r="F249" s="18" t="inlineStr">
        <is>
          <t>SERVICIO</t>
        </is>
      </c>
      <c r="G249" s="14" t="inlineStr">
        <is>
          <t>ALMACEN JABONERIA</t>
        </is>
      </c>
      <c r="H249" s="14" t="inlineStr">
        <is>
          <t>Epson</t>
        </is>
      </c>
      <c r="I249" s="14" t="inlineStr">
        <is>
          <t>EcoTank L3250</t>
        </is>
      </c>
      <c r="J249" s="13" t="inlineStr">
        <is>
          <t>SN-DL20-4789</t>
        </is>
      </c>
      <c r="K249" s="15" t="n">
        <v>44731</v>
      </c>
      <c r="L249" s="16" t="n">
        <v>179900</v>
      </c>
      <c r="M249" s="14" t="inlineStr">
        <is>
          <t>JEFE ALMACEN JABONERIA</t>
        </is>
      </c>
    </row>
    <row r="250">
      <c r="A250" s="9" t="n">
        <v>246</v>
      </c>
      <c r="B250" s="10" t="inlineStr">
        <is>
          <t>DIRECCION LOGISTICA</t>
        </is>
      </c>
      <c r="C250" s="9" t="inlineStr">
        <is>
          <t>DL-21</t>
        </is>
      </c>
      <c r="D250" s="10" t="inlineStr">
        <is>
          <t>1 VENTILADOR</t>
        </is>
      </c>
      <c r="E250" s="19" t="inlineStr">
        <is>
          <t>EQUIPOS DE CLIMATIZACION Y REFRIGERACION</t>
        </is>
      </c>
      <c r="F250" s="18" t="inlineStr">
        <is>
          <t>SERVICIO</t>
        </is>
      </c>
      <c r="G250" s="10" t="inlineStr">
        <is>
          <t>ALMACEN JABONERIA</t>
        </is>
      </c>
      <c r="H250" s="10" t="inlineStr">
        <is>
          <t>Recco</t>
        </is>
      </c>
      <c r="I250" s="10" t="inlineStr">
        <is>
          <t>RVP-45PM Pedestal</t>
        </is>
      </c>
      <c r="J250" s="9" t="inlineStr">
        <is>
          <t>SN-DL21-4926</t>
        </is>
      </c>
      <c r="K250" s="11" t="n">
        <v>44736</v>
      </c>
      <c r="L250" s="12" t="n">
        <v>39990</v>
      </c>
      <c r="M250" s="10" t="inlineStr">
        <is>
          <t>JEFE ALMACEN JABONERIA</t>
        </is>
      </c>
    </row>
    <row r="251">
      <c r="A251" s="13" t="n">
        <v>247</v>
      </c>
      <c r="B251" s="14" t="inlineStr">
        <is>
          <t>DIRECCION LOGISTICA</t>
        </is>
      </c>
      <c r="C251" s="13" t="inlineStr">
        <is>
          <t>DL-22</t>
        </is>
      </c>
      <c r="D251" s="14" t="inlineStr">
        <is>
          <t>1 PC ESCRITORIO</t>
        </is>
      </c>
      <c r="E251" s="19" t="inlineStr">
        <is>
          <t>INFORMATICA</t>
        </is>
      </c>
      <c r="F251" s="18" t="inlineStr">
        <is>
          <t>SERVICIO</t>
        </is>
      </c>
      <c r="G251" s="14" t="inlineStr">
        <is>
          <t>ALMACEN PERFUMERIA</t>
        </is>
      </c>
      <c r="H251" s="14" t="inlineStr">
        <is>
          <t>HP</t>
        </is>
      </c>
      <c r="I251" s="14" t="inlineStr">
        <is>
          <t>ProDesk 400 G9 SFF</t>
        </is>
      </c>
      <c r="J251" s="13" t="inlineStr">
        <is>
          <t>SN-DL22-5063</t>
        </is>
      </c>
      <c r="K251" s="15" t="n">
        <v>44873</v>
      </c>
      <c r="L251" s="16" t="n">
        <v>549900</v>
      </c>
      <c r="M251" s="14" t="inlineStr">
        <is>
          <t>JEFE ALMACEN PERFUMERIA</t>
        </is>
      </c>
    </row>
    <row r="252">
      <c r="A252" s="9" t="n">
        <v>248</v>
      </c>
      <c r="B252" s="10" t="inlineStr">
        <is>
          <t>DIRECCION LOGISTICA</t>
        </is>
      </c>
      <c r="C252" s="9" t="inlineStr">
        <is>
          <t>DL-23</t>
        </is>
      </c>
      <c r="D252" s="10" t="inlineStr">
        <is>
          <t>1 BURO</t>
        </is>
      </c>
      <c r="E252" s="19" t="inlineStr">
        <is>
          <t>MOBILIARIO</t>
        </is>
      </c>
      <c r="F252" s="18" t="inlineStr">
        <is>
          <t>SERVICIO</t>
        </is>
      </c>
      <c r="G252" s="10" t="inlineStr">
        <is>
          <t>ALMACEN PERFUMERIA</t>
        </is>
      </c>
      <c r="H252" s="10" t="inlineStr">
        <is>
          <t>Rosen</t>
        </is>
      </c>
      <c r="I252" s="10" t="inlineStr">
        <is>
          <t>Buro Ejecutivo BR-120</t>
        </is>
      </c>
      <c r="J252" s="9" t="inlineStr">
        <is>
          <t>SN-DL23-5200</t>
        </is>
      </c>
      <c r="K252" s="11" t="n">
        <v>44878</v>
      </c>
      <c r="L252" s="12" t="n">
        <v>159900</v>
      </c>
      <c r="M252" s="10" t="inlineStr">
        <is>
          <t>JEFE ALMACEN PERFUMERIA</t>
        </is>
      </c>
    </row>
    <row r="253">
      <c r="A253" s="13" t="n">
        <v>249</v>
      </c>
      <c r="B253" s="14" t="inlineStr">
        <is>
          <t>DIRECCION LOGISTICA</t>
        </is>
      </c>
      <c r="C253" s="13" t="inlineStr">
        <is>
          <t>DL-24</t>
        </is>
      </c>
      <c r="D253" s="14" t="inlineStr">
        <is>
          <t>1 SILLA GIRATORIA</t>
        </is>
      </c>
      <c r="E253" s="19" t="inlineStr">
        <is>
          <t>MOBILIARIO</t>
        </is>
      </c>
      <c r="F253" s="18" t="inlineStr">
        <is>
          <t>SERVICIO</t>
        </is>
      </c>
      <c r="G253" s="14" t="inlineStr">
        <is>
          <t>ALMACEN PERFUMERIA</t>
        </is>
      </c>
      <c r="H253" s="14" t="inlineStr">
        <is>
          <t>Ergosillas</t>
        </is>
      </c>
      <c r="I253" s="14" t="inlineStr">
        <is>
          <t>Pro Ergo 120</t>
        </is>
      </c>
      <c r="J253" s="13" t="inlineStr">
        <is>
          <t>SN-DL24-5337</t>
        </is>
      </c>
      <c r="K253" s="15" t="n">
        <v>44883</v>
      </c>
      <c r="L253" s="16" t="n">
        <v>109900</v>
      </c>
      <c r="M253" s="14" t="inlineStr">
        <is>
          <t>JEFE ALMACEN PERFUMERIA</t>
        </is>
      </c>
    </row>
    <row r="254">
      <c r="A254" s="9" t="n">
        <v>250</v>
      </c>
      <c r="B254" s="10" t="inlineStr">
        <is>
          <t>DIRECCION LOGISTICA</t>
        </is>
      </c>
      <c r="C254" s="9" t="inlineStr">
        <is>
          <t>DL-25</t>
        </is>
      </c>
      <c r="D254" s="10" t="inlineStr">
        <is>
          <t>1 CREDENZA METALICA</t>
        </is>
      </c>
      <c r="E254" s="19" t="inlineStr">
        <is>
          <t>MOBILIARIO</t>
        </is>
      </c>
      <c r="F254" s="18" t="inlineStr">
        <is>
          <t>SERVICIO</t>
        </is>
      </c>
      <c r="G254" s="10" t="inlineStr">
        <is>
          <t>ALMACEN PERFUMERIA</t>
        </is>
      </c>
      <c r="H254" s="10" t="inlineStr">
        <is>
          <t>Dimeiggs</t>
        </is>
      </c>
      <c r="I254" s="10" t="inlineStr">
        <is>
          <t>Credenza Metalica CRD-2P</t>
        </is>
      </c>
      <c r="J254" s="9" t="inlineStr">
        <is>
          <t>SN-DL25-5474</t>
        </is>
      </c>
      <c r="K254" s="11" t="n">
        <v>44873</v>
      </c>
      <c r="L254" s="12" t="n">
        <v>189900</v>
      </c>
      <c r="M254" s="10" t="inlineStr">
        <is>
          <t>JEFE ALMACEN PERFUMERIA</t>
        </is>
      </c>
    </row>
    <row r="255">
      <c r="A255" s="13" t="n">
        <v>251</v>
      </c>
      <c r="B255" s="14" t="inlineStr">
        <is>
          <t>DIRECCION LOGISTICA</t>
        </is>
      </c>
      <c r="C255" s="13" t="inlineStr">
        <is>
          <t>DL-26</t>
        </is>
      </c>
      <c r="D255" s="14" t="inlineStr">
        <is>
          <t>1 IMPRESORA</t>
        </is>
      </c>
      <c r="E255" s="19" t="inlineStr">
        <is>
          <t>INFORMATICA</t>
        </is>
      </c>
      <c r="F255" s="18" t="inlineStr">
        <is>
          <t>SERVICIO</t>
        </is>
      </c>
      <c r="G255" s="14" t="inlineStr">
        <is>
          <t>ALMACEN PERFUMERIA</t>
        </is>
      </c>
      <c r="H255" s="14" t="inlineStr">
        <is>
          <t>Epson</t>
        </is>
      </c>
      <c r="I255" s="14" t="inlineStr">
        <is>
          <t>EcoTank L3250</t>
        </is>
      </c>
      <c r="J255" s="13" t="inlineStr">
        <is>
          <t>SN-DL26-5611</t>
        </is>
      </c>
      <c r="K255" s="15" t="n">
        <v>44878</v>
      </c>
      <c r="L255" s="16" t="n">
        <v>179900</v>
      </c>
      <c r="M255" s="14" t="inlineStr">
        <is>
          <t>JEFE ALMACEN PERFUMERIA</t>
        </is>
      </c>
    </row>
    <row r="256">
      <c r="A256" s="9" t="n">
        <v>252</v>
      </c>
      <c r="B256" s="10" t="inlineStr">
        <is>
          <t>DIRECCION LOGISTICA</t>
        </is>
      </c>
      <c r="C256" s="9" t="inlineStr">
        <is>
          <t>DL-27</t>
        </is>
      </c>
      <c r="D256" s="10" t="inlineStr">
        <is>
          <t>1 VENTILADOR</t>
        </is>
      </c>
      <c r="E256" s="19" t="inlineStr">
        <is>
          <t>EQUIPOS DE CLIMATIZACION Y REFRIGERACION</t>
        </is>
      </c>
      <c r="F256" s="18" t="inlineStr">
        <is>
          <t>SERVICIO</t>
        </is>
      </c>
      <c r="G256" s="10" t="inlineStr">
        <is>
          <t>ALMACEN PERFUMERIA</t>
        </is>
      </c>
      <c r="H256" s="10" t="inlineStr">
        <is>
          <t>Recco</t>
        </is>
      </c>
      <c r="I256" s="10" t="inlineStr">
        <is>
          <t>RVP-45PM Pedestal</t>
        </is>
      </c>
      <c r="J256" s="9" t="inlineStr">
        <is>
          <t>SN-DL27-5748</t>
        </is>
      </c>
      <c r="K256" s="11" t="n">
        <v>44883</v>
      </c>
      <c r="L256" s="12" t="n">
        <v>39990</v>
      </c>
      <c r="M256" s="10" t="inlineStr">
        <is>
          <t>JEFE ALMACEN PERFUMERIA</t>
        </is>
      </c>
    </row>
    <row r="257" ht="22" customHeight="1">
      <c r="A257" s="27" t="inlineStr">
        <is>
          <t>TOTAL</t>
        </is>
      </c>
      <c r="B257" s="28" t="n"/>
      <c r="C257" s="28" t="n"/>
      <c r="D257" s="29">
        <f>COUNTA(C5:C256)&amp;" activos en "&amp;SUMPRODUCT(1/COUNTIF(B5:B256,B5:B256))&amp;" direcciones"</f>
        <v/>
      </c>
      <c r="E257" s="28" t="n"/>
      <c r="F257" s="28" t="n"/>
      <c r="G257" s="28" t="n"/>
      <c r="H257" s="28" t="n"/>
      <c r="I257" s="28" t="n"/>
      <c r="J257" s="28" t="n"/>
      <c r="K257" s="28" t="n"/>
      <c r="L257" s="30">
        <f>SUM(L5:L256)</f>
        <v/>
      </c>
      <c r="M257" s="28" t="n"/>
    </row>
  </sheetData>
  <autoFilter ref="A4:M256"/>
  <mergeCells count="2">
    <mergeCell ref="A2:M2"/>
    <mergeCell ref="A1:M1"/>
  </mergeCells>
  <dataValidations count="4">
    <dataValidation sqref="E5:E256" showDropDown="0" showInputMessage="0" showErrorMessage="0" allowBlank="1" errorTitle="Valor no permitido" error="Valor fuera del catalogo vigente." type="list">
      <formula1>=Listas!$A$2:$A$7</formula1>
    </dataValidation>
    <dataValidation sqref="F5:F256" showDropDown="0" showInputMessage="0" showErrorMessage="0" allowBlank="1" errorTitle="Valor no permitido" error="Valor fuera del catalogo vigente." type="list">
      <formula1>=Listas!$B$2:$B$4</formula1>
    </dataValidation>
    <dataValidation sqref="B5:B256" showDropDown="0" showInputMessage="0" showErrorMessage="0" allowBlank="1" errorTitle="Valor no permitido" error="Valor fuera del catalogo vigente." type="list">
      <formula1>=Listas!$C$2:$C$6</formula1>
    </dataValidation>
    <dataValidation sqref="G5:G256" showDropDown="0" showInputMessage="0" showErrorMessage="0" allowBlank="1" errorTitle="Valor no permitido" error="Valor fuera del catalogo vigente." type="list">
      <formula1>=Listas!$D$2:$D$21</formula1>
    </dataValidation>
  </dataValidations>
  <pageMargins left="0.75" right="0.75" top="1" bottom="1" header="0.5" footer="0.5"/>
  <pageSetup orientation="landscape"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s>
  <sheetData>
    <row r="1">
      <c r="A1" s="31" t="inlineStr">
        <is>
          <t>CATEGORIA</t>
        </is>
      </c>
      <c r="B1" s="31" t="inlineStr">
        <is>
          <t>ESTADO</t>
        </is>
      </c>
      <c r="C1" s="31" t="inlineStr">
        <is>
          <t>DIRECCION</t>
        </is>
      </c>
      <c r="D1" s="31" t="inlineStr">
        <is>
          <t>AREA</t>
        </is>
      </c>
    </row>
    <row r="2">
      <c r="A2" s="32" t="inlineStr">
        <is>
          <t>MOBILIARIO</t>
        </is>
      </c>
      <c r="B2" s="32" t="inlineStr">
        <is>
          <t>SERVICIO</t>
        </is>
      </c>
      <c r="C2" s="32" t="inlineStr">
        <is>
          <t>DIRECCION GENERAL</t>
        </is>
      </c>
      <c r="D2" s="32" t="inlineStr">
        <is>
          <t>OFICINA DIRECTOR GENERAL</t>
        </is>
      </c>
    </row>
    <row r="3">
      <c r="A3" s="32" t="inlineStr">
        <is>
          <t>INFORMATICA</t>
        </is>
      </c>
      <c r="B3" s="32" t="inlineStr">
        <is>
          <t>MTTO</t>
        </is>
      </c>
      <c r="C3" s="32" t="inlineStr">
        <is>
          <t>DIRECCION TECNICO-PRODUCTIVA</t>
        </is>
      </c>
      <c r="D3" s="32" t="inlineStr">
        <is>
          <t>OFICINA SECRETARIA EJECUTIVA</t>
        </is>
      </c>
    </row>
    <row r="4">
      <c r="A4" s="32" t="inlineStr">
        <is>
          <t>EQUIPOS DE CLIMATIZACION Y REFRIGERACION</t>
        </is>
      </c>
      <c r="B4" s="32" t="inlineStr">
        <is>
          <t>BAJA</t>
        </is>
      </c>
      <c r="C4" s="32" t="inlineStr">
        <is>
          <t>DIRECCION COMERCIAL</t>
        </is>
      </c>
      <c r="D4" s="32" t="inlineStr">
        <is>
          <t>SALON REUNIONES</t>
        </is>
      </c>
    </row>
    <row r="5">
      <c r="A5" s="32" t="inlineStr">
        <is>
          <t>ELECTRODOMESTICOS</t>
        </is>
      </c>
      <c r="C5" s="32" t="inlineStr">
        <is>
          <t>DIRECCION ECONOMIA</t>
        </is>
      </c>
      <c r="D5" s="32" t="inlineStr">
        <is>
          <t>JURIDICO</t>
        </is>
      </c>
    </row>
    <row r="6">
      <c r="A6" s="32" t="inlineStr">
        <is>
          <t>TECNOLOGIA</t>
        </is>
      </c>
      <c r="C6" s="32" t="inlineStr">
        <is>
          <t>DIRECCION LOGISTICA</t>
        </is>
      </c>
      <c r="D6" s="32" t="inlineStr">
        <is>
          <t>PANTRY</t>
        </is>
      </c>
    </row>
    <row r="7">
      <c r="A7" s="32" t="inlineStr">
        <is>
          <t>TRANSPORTE</t>
        </is>
      </c>
      <c r="D7" s="32" t="inlineStr">
        <is>
          <t>OFICINA DIRECTOR TECN.// PRODUCT.</t>
        </is>
      </c>
    </row>
    <row r="8">
      <c r="D8" s="32" t="inlineStr">
        <is>
          <t>DEPARTAMENTO TECNICO</t>
        </is>
      </c>
    </row>
    <row r="9">
      <c r="D9" s="32" t="inlineStr">
        <is>
          <t>DEPARTAMENTO PRODUCC.</t>
        </is>
      </c>
    </row>
    <row r="10">
      <c r="D10" s="32" t="inlineStr">
        <is>
          <t>PLANTA JABONERIA</t>
        </is>
      </c>
    </row>
    <row r="11">
      <c r="D11" s="32" t="inlineStr">
        <is>
          <t>PLANTA PERFUMERIA</t>
        </is>
      </c>
    </row>
    <row r="12">
      <c r="D12" s="32" t="inlineStr">
        <is>
          <t>OFICINA DIRECTOR COMERCIAL</t>
        </is>
      </c>
    </row>
    <row r="13">
      <c r="D13" s="32" t="inlineStr">
        <is>
          <t>DEPARTAMENTO VENTAS NACIONAL</t>
        </is>
      </c>
    </row>
    <row r="14">
      <c r="D14" s="32" t="inlineStr">
        <is>
          <t>DEPARTAMENTO VENTAS INTERNACIONAL</t>
        </is>
      </c>
    </row>
    <row r="15">
      <c r="D15" s="32" t="inlineStr">
        <is>
          <t>OFICINA DIRECTOR ECONOMIA</t>
        </is>
      </c>
    </row>
    <row r="16">
      <c r="D16" s="32" t="inlineStr">
        <is>
          <t>DEPARTAMENTO CONTABILIDAD</t>
        </is>
      </c>
    </row>
    <row r="17">
      <c r="D17" s="32" t="inlineStr">
        <is>
          <t>DEPARTAMENTO FINANZAS</t>
        </is>
      </c>
    </row>
    <row r="18">
      <c r="D18" s="32" t="inlineStr">
        <is>
          <t>OFICINA DIRECTOR LOGISTICA</t>
        </is>
      </c>
    </row>
    <row r="19">
      <c r="D19" s="32" t="inlineStr">
        <is>
          <t>DEPARTAMENTO TRANSPORTE</t>
        </is>
      </c>
    </row>
    <row r="20">
      <c r="D20" s="32" t="inlineStr">
        <is>
          <t>ALMACEN JABONERIA</t>
        </is>
      </c>
    </row>
    <row r="21">
      <c r="D21" s="32" t="inlineStr">
        <is>
          <t>ALMACEN PERFUMERIA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1"/>
  <sheetViews>
    <sheetView showGridLines="0" workbookViewId="0">
      <selection activeCell="A1" sqref="A1"/>
    </sheetView>
  </sheetViews>
  <sheetFormatPr baseColWidth="8" defaultRowHeight="15"/>
  <cols>
    <col width="44" customWidth="1" min="1" max="1"/>
    <col width="12" customWidth="1" min="2" max="2"/>
    <col width="18" customWidth="1" min="3" max="3"/>
    <col width="13" customWidth="1" min="4" max="4"/>
  </cols>
  <sheetData>
    <row r="1" ht="30" customHeight="1">
      <c r="A1" s="33" t="inlineStr">
        <is>
          <t>Resumen consolidado — 252 activos, 5 direcciones</t>
        </is>
      </c>
    </row>
    <row r="2" ht="8" customHeight="1"/>
    <row r="3" ht="22" customHeight="1">
      <c r="A3" s="34" t="inlineStr">
        <is>
          <t>Por dirección</t>
        </is>
      </c>
    </row>
    <row r="4">
      <c r="A4" s="35" t="inlineStr">
        <is>
          <t>Dirección</t>
        </is>
      </c>
      <c r="B4" s="36" t="inlineStr">
        <is>
          <t>Activos</t>
        </is>
      </c>
      <c r="C4" s="36" t="inlineStr">
        <is>
          <t>Valor total</t>
        </is>
      </c>
      <c r="D4" s="36" t="inlineStr">
        <is>
          <t>% del valor</t>
        </is>
      </c>
    </row>
    <row r="5">
      <c r="A5" s="10" t="inlineStr">
        <is>
          <t>DIRECCION GENERAL</t>
        </is>
      </c>
      <c r="B5" s="9">
        <f>COUNTIF('REGISTRO DE ACTIVOS NUEVOS'!$B$5:$B$256,$A5)</f>
        <v/>
      </c>
      <c r="C5" s="12">
        <f>SUMIF('REGISTRO DE ACTIVOS NUEVOS'!$B$5:$B$256,$A5,'REGISTRO DE ACTIVOS NUEVOS'!$L$5:$L$256)</f>
        <v/>
      </c>
      <c r="D5" s="37">
        <f>IFERROR(C5/SUM('REGISTRO DE ACTIVOS NUEVOS'!$L$5:$L$256),0)</f>
        <v/>
      </c>
    </row>
    <row r="6">
      <c r="A6" s="14" t="inlineStr">
        <is>
          <t>DIRECCION TECNICO-PRODUCTIVA</t>
        </is>
      </c>
      <c r="B6" s="13">
        <f>COUNTIF('REGISTRO DE ACTIVOS NUEVOS'!$B$5:$B$256,$A6)</f>
        <v/>
      </c>
      <c r="C6" s="16">
        <f>SUMIF('REGISTRO DE ACTIVOS NUEVOS'!$B$5:$B$256,$A6,'REGISTRO DE ACTIVOS NUEVOS'!$L$5:$L$256)</f>
        <v/>
      </c>
      <c r="D6" s="38">
        <f>IFERROR(C6/SUM('REGISTRO DE ACTIVOS NUEVOS'!$L$5:$L$256),0)</f>
        <v/>
      </c>
    </row>
    <row r="7">
      <c r="A7" s="10" t="inlineStr">
        <is>
          <t>DIRECCION COMERCIAL</t>
        </is>
      </c>
      <c r="B7" s="9">
        <f>COUNTIF('REGISTRO DE ACTIVOS NUEVOS'!$B$5:$B$256,$A7)</f>
        <v/>
      </c>
      <c r="C7" s="12">
        <f>SUMIF('REGISTRO DE ACTIVOS NUEVOS'!$B$5:$B$256,$A7,'REGISTRO DE ACTIVOS NUEVOS'!$L$5:$L$256)</f>
        <v/>
      </c>
      <c r="D7" s="37">
        <f>IFERROR(C7/SUM('REGISTRO DE ACTIVOS NUEVOS'!$L$5:$L$256),0)</f>
        <v/>
      </c>
    </row>
    <row r="8">
      <c r="A8" s="14" t="inlineStr">
        <is>
          <t>DIRECCION ECONOMIA</t>
        </is>
      </c>
      <c r="B8" s="13">
        <f>COUNTIF('REGISTRO DE ACTIVOS NUEVOS'!$B$5:$B$256,$A8)</f>
        <v/>
      </c>
      <c r="C8" s="16">
        <f>SUMIF('REGISTRO DE ACTIVOS NUEVOS'!$B$5:$B$256,$A8,'REGISTRO DE ACTIVOS NUEVOS'!$L$5:$L$256)</f>
        <v/>
      </c>
      <c r="D8" s="38">
        <f>IFERROR(C8/SUM('REGISTRO DE ACTIVOS NUEVOS'!$L$5:$L$256),0)</f>
        <v/>
      </c>
    </row>
    <row r="9">
      <c r="A9" s="10" t="inlineStr">
        <is>
          <t>DIRECCION LOGISTICA</t>
        </is>
      </c>
      <c r="B9" s="9">
        <f>COUNTIF('REGISTRO DE ACTIVOS NUEVOS'!$B$5:$B$256,$A9)</f>
        <v/>
      </c>
      <c r="C9" s="12">
        <f>SUMIF('REGISTRO DE ACTIVOS NUEVOS'!$B$5:$B$256,$A9,'REGISTRO DE ACTIVOS NUEVOS'!$L$5:$L$256)</f>
        <v/>
      </c>
      <c r="D9" s="37">
        <f>IFERROR(C9/SUM('REGISTRO DE ACTIVOS NUEVOS'!$L$5:$L$256),0)</f>
        <v/>
      </c>
    </row>
    <row r="10">
      <c r="A10" s="29" t="inlineStr">
        <is>
          <t>Total</t>
        </is>
      </c>
      <c r="B10" s="27">
        <f>SUM(B5:B9)</f>
        <v/>
      </c>
      <c r="C10" s="30">
        <f>SUM(C5:C9)</f>
        <v/>
      </c>
      <c r="D10" s="39">
        <f>SUM(D5:D9)</f>
        <v/>
      </c>
    </row>
    <row r="12" ht="22" customHeight="1">
      <c r="A12" s="34" t="inlineStr">
        <is>
          <t>Por categoría</t>
        </is>
      </c>
    </row>
    <row r="13">
      <c r="A13" s="35" t="inlineStr">
        <is>
          <t>Categoría</t>
        </is>
      </c>
      <c r="B13" s="36" t="inlineStr">
        <is>
          <t>Activos</t>
        </is>
      </c>
      <c r="C13" s="36" t="inlineStr">
        <is>
          <t>Valor total</t>
        </is>
      </c>
      <c r="D13" s="36" t="inlineStr">
        <is>
          <t>% del valor</t>
        </is>
      </c>
    </row>
    <row r="14">
      <c r="A14" s="10" t="inlineStr">
        <is>
          <t>MOBILIARIO</t>
        </is>
      </c>
      <c r="B14" s="9">
        <f>COUNTIF('REGISTRO DE ACTIVOS NUEVOS'!$E$5:$E$256,$A14)</f>
        <v/>
      </c>
      <c r="C14" s="12">
        <f>SUMIF('REGISTRO DE ACTIVOS NUEVOS'!$E$5:$E$256,$A14,'REGISTRO DE ACTIVOS NUEVOS'!$L$5:$L$256)</f>
        <v/>
      </c>
      <c r="D14" s="37">
        <f>IFERROR(C14/SUM('REGISTRO DE ACTIVOS NUEVOS'!$L$5:$L$256),0)</f>
        <v/>
      </c>
    </row>
    <row r="15">
      <c r="A15" s="14" t="inlineStr">
        <is>
          <t>INFORMATICA</t>
        </is>
      </c>
      <c r="B15" s="13">
        <f>COUNTIF('REGISTRO DE ACTIVOS NUEVOS'!$E$5:$E$256,$A15)</f>
        <v/>
      </c>
      <c r="C15" s="16">
        <f>SUMIF('REGISTRO DE ACTIVOS NUEVOS'!$E$5:$E$256,$A15,'REGISTRO DE ACTIVOS NUEVOS'!$L$5:$L$256)</f>
        <v/>
      </c>
      <c r="D15" s="38">
        <f>IFERROR(C15/SUM('REGISTRO DE ACTIVOS NUEVOS'!$L$5:$L$256),0)</f>
        <v/>
      </c>
    </row>
    <row r="16">
      <c r="A16" s="10" t="inlineStr">
        <is>
          <t>EQUIPOS DE CLIMATIZACION Y REFRIGERACION</t>
        </is>
      </c>
      <c r="B16" s="9">
        <f>COUNTIF('REGISTRO DE ACTIVOS NUEVOS'!$E$5:$E$256,$A16)</f>
        <v/>
      </c>
      <c r="C16" s="12">
        <f>SUMIF('REGISTRO DE ACTIVOS NUEVOS'!$E$5:$E$256,$A16,'REGISTRO DE ACTIVOS NUEVOS'!$L$5:$L$256)</f>
        <v/>
      </c>
      <c r="D16" s="37">
        <f>IFERROR(C16/SUM('REGISTRO DE ACTIVOS NUEVOS'!$L$5:$L$256),0)</f>
        <v/>
      </c>
    </row>
    <row r="17">
      <c r="A17" s="14" t="inlineStr">
        <is>
          <t>ELECTRODOMESTICOS</t>
        </is>
      </c>
      <c r="B17" s="13">
        <f>COUNTIF('REGISTRO DE ACTIVOS NUEVOS'!$E$5:$E$256,$A17)</f>
        <v/>
      </c>
      <c r="C17" s="16">
        <f>SUMIF('REGISTRO DE ACTIVOS NUEVOS'!$E$5:$E$256,$A17,'REGISTRO DE ACTIVOS NUEVOS'!$L$5:$L$256)</f>
        <v/>
      </c>
      <c r="D17" s="38">
        <f>IFERROR(C17/SUM('REGISTRO DE ACTIVOS NUEVOS'!$L$5:$L$256),0)</f>
        <v/>
      </c>
    </row>
    <row r="18">
      <c r="A18" s="10" t="inlineStr">
        <is>
          <t>TECNOLOGIA</t>
        </is>
      </c>
      <c r="B18" s="9">
        <f>COUNTIF('REGISTRO DE ACTIVOS NUEVOS'!$E$5:$E$256,$A18)</f>
        <v/>
      </c>
      <c r="C18" s="12">
        <f>SUMIF('REGISTRO DE ACTIVOS NUEVOS'!$E$5:$E$256,$A18,'REGISTRO DE ACTIVOS NUEVOS'!$L$5:$L$256)</f>
        <v/>
      </c>
      <c r="D18" s="37">
        <f>IFERROR(C18/SUM('REGISTRO DE ACTIVOS NUEVOS'!$L$5:$L$256),0)</f>
        <v/>
      </c>
    </row>
    <row r="19">
      <c r="A19" s="14" t="inlineStr">
        <is>
          <t>TRANSPORTE</t>
        </is>
      </c>
      <c r="B19" s="13">
        <f>COUNTIF('REGISTRO DE ACTIVOS NUEVOS'!$E$5:$E$256,$A19)</f>
        <v/>
      </c>
      <c r="C19" s="16">
        <f>SUMIF('REGISTRO DE ACTIVOS NUEVOS'!$E$5:$E$256,$A19,'REGISTRO DE ACTIVOS NUEVOS'!$L$5:$L$256)</f>
        <v/>
      </c>
      <c r="D19" s="38">
        <f>IFERROR(C19/SUM('REGISTRO DE ACTIVOS NUEVOS'!$L$5:$L$256),0)</f>
        <v/>
      </c>
    </row>
    <row r="20">
      <c r="A20" s="29" t="inlineStr">
        <is>
          <t>Total</t>
        </is>
      </c>
      <c r="B20" s="27">
        <f>SUM(B14:B19)</f>
        <v/>
      </c>
      <c r="C20" s="30">
        <f>SUM(C14:C19)</f>
        <v/>
      </c>
      <c r="D20" s="39">
        <f>SUM(D14:D19)</f>
        <v/>
      </c>
    </row>
    <row r="22" ht="22" customHeight="1">
      <c r="A22" s="34" t="inlineStr">
        <is>
          <t>Por estado</t>
        </is>
      </c>
    </row>
    <row r="23">
      <c r="A23" s="35" t="inlineStr">
        <is>
          <t>Estado</t>
        </is>
      </c>
      <c r="B23" s="36" t="inlineStr">
        <is>
          <t>Activos</t>
        </is>
      </c>
      <c r="C23" s="36" t="inlineStr">
        <is>
          <t>Valor total</t>
        </is>
      </c>
      <c r="D23" s="36" t="inlineStr">
        <is>
          <t>% del valor</t>
        </is>
      </c>
    </row>
    <row r="24">
      <c r="A24" s="10" t="inlineStr">
        <is>
          <t>SERVICIO</t>
        </is>
      </c>
      <c r="B24" s="9">
        <f>COUNTIF('REGISTRO DE ACTIVOS NUEVOS'!$F$5:$F$256,$A24)</f>
        <v/>
      </c>
      <c r="C24" s="12">
        <f>SUMIF('REGISTRO DE ACTIVOS NUEVOS'!$F$5:$F$256,$A24,'REGISTRO DE ACTIVOS NUEVOS'!$L$5:$L$256)</f>
        <v/>
      </c>
      <c r="D24" s="37">
        <f>IFERROR(C24/SUM('REGISTRO DE ACTIVOS NUEVOS'!$L$5:$L$256),0)</f>
        <v/>
      </c>
    </row>
    <row r="25">
      <c r="A25" s="14" t="inlineStr">
        <is>
          <t>MTTO</t>
        </is>
      </c>
      <c r="B25" s="13">
        <f>COUNTIF('REGISTRO DE ACTIVOS NUEVOS'!$F$5:$F$256,$A25)</f>
        <v/>
      </c>
      <c r="C25" s="16">
        <f>SUMIF('REGISTRO DE ACTIVOS NUEVOS'!$F$5:$F$256,$A25,'REGISTRO DE ACTIVOS NUEVOS'!$L$5:$L$256)</f>
        <v/>
      </c>
      <c r="D25" s="38">
        <f>IFERROR(C25/SUM('REGISTRO DE ACTIVOS NUEVOS'!$L$5:$L$256),0)</f>
        <v/>
      </c>
    </row>
    <row r="26">
      <c r="A26" s="10" t="inlineStr">
        <is>
          <t>BAJA</t>
        </is>
      </c>
      <c r="B26" s="9">
        <f>COUNTIF('REGISTRO DE ACTIVOS NUEVOS'!$F$5:$F$256,$A26)</f>
        <v/>
      </c>
      <c r="C26" s="12">
        <f>SUMIF('REGISTRO DE ACTIVOS NUEVOS'!$F$5:$F$256,$A26,'REGISTRO DE ACTIVOS NUEVOS'!$L$5:$L$256)</f>
        <v/>
      </c>
      <c r="D26" s="37">
        <f>IFERROR(C26/SUM('REGISTRO DE ACTIVOS NUEVOS'!$L$5:$L$256),0)</f>
        <v/>
      </c>
    </row>
    <row r="27">
      <c r="A27" s="29" t="inlineStr">
        <is>
          <t>Total</t>
        </is>
      </c>
      <c r="B27" s="27">
        <f>SUM(B24:B26)</f>
        <v/>
      </c>
      <c r="C27" s="30">
        <f>SUM(C24:C26)</f>
        <v/>
      </c>
      <c r="D27" s="39">
        <f>SUM(D24:D26)</f>
        <v/>
      </c>
    </row>
    <row r="29" ht="22" customHeight="1">
      <c r="A29" s="34" t="inlineStr">
        <is>
          <t>Por área</t>
        </is>
      </c>
    </row>
    <row r="30">
      <c r="A30" s="35" t="inlineStr">
        <is>
          <t>Área</t>
        </is>
      </c>
      <c r="B30" s="36" t="inlineStr">
        <is>
          <t>Activos</t>
        </is>
      </c>
      <c r="C30" s="36" t="inlineStr">
        <is>
          <t>Valor total</t>
        </is>
      </c>
      <c r="D30" s="36" t="inlineStr">
        <is>
          <t>% del valor</t>
        </is>
      </c>
    </row>
    <row r="31">
      <c r="A31" s="10" t="inlineStr">
        <is>
          <t>OFICINA DIRECTOR GENERAL</t>
        </is>
      </c>
      <c r="B31" s="9">
        <f>COUNTIF('REGISTRO DE ACTIVOS NUEVOS'!$G$5:$G$256,$A31)</f>
        <v/>
      </c>
      <c r="C31" s="12">
        <f>SUMIF('REGISTRO DE ACTIVOS NUEVOS'!$G$5:$G$256,$A31,'REGISTRO DE ACTIVOS NUEVOS'!$L$5:$L$256)</f>
        <v/>
      </c>
      <c r="D31" s="37">
        <f>IFERROR(C31/SUM('REGISTRO DE ACTIVOS NUEVOS'!$L$5:$L$256),0)</f>
        <v/>
      </c>
    </row>
    <row r="32">
      <c r="A32" s="14" t="inlineStr">
        <is>
          <t>OFICINA SECRETARIA EJECUTIVA</t>
        </is>
      </c>
      <c r="B32" s="13">
        <f>COUNTIF('REGISTRO DE ACTIVOS NUEVOS'!$G$5:$G$256,$A32)</f>
        <v/>
      </c>
      <c r="C32" s="16">
        <f>SUMIF('REGISTRO DE ACTIVOS NUEVOS'!$G$5:$G$256,$A32,'REGISTRO DE ACTIVOS NUEVOS'!$L$5:$L$256)</f>
        <v/>
      </c>
      <c r="D32" s="38">
        <f>IFERROR(C32/SUM('REGISTRO DE ACTIVOS NUEVOS'!$L$5:$L$256),0)</f>
        <v/>
      </c>
    </row>
    <row r="33">
      <c r="A33" s="10" t="inlineStr">
        <is>
          <t>SALON REUNIONES</t>
        </is>
      </c>
      <c r="B33" s="9">
        <f>COUNTIF('REGISTRO DE ACTIVOS NUEVOS'!$G$5:$G$256,$A33)</f>
        <v/>
      </c>
      <c r="C33" s="12">
        <f>SUMIF('REGISTRO DE ACTIVOS NUEVOS'!$G$5:$G$256,$A33,'REGISTRO DE ACTIVOS NUEVOS'!$L$5:$L$256)</f>
        <v/>
      </c>
      <c r="D33" s="37">
        <f>IFERROR(C33/SUM('REGISTRO DE ACTIVOS NUEVOS'!$L$5:$L$256),0)</f>
        <v/>
      </c>
    </row>
    <row r="34">
      <c r="A34" s="14" t="inlineStr">
        <is>
          <t>JURIDICO</t>
        </is>
      </c>
      <c r="B34" s="13">
        <f>COUNTIF('REGISTRO DE ACTIVOS NUEVOS'!$G$5:$G$256,$A34)</f>
        <v/>
      </c>
      <c r="C34" s="16">
        <f>SUMIF('REGISTRO DE ACTIVOS NUEVOS'!$G$5:$G$256,$A34,'REGISTRO DE ACTIVOS NUEVOS'!$L$5:$L$256)</f>
        <v/>
      </c>
      <c r="D34" s="38">
        <f>IFERROR(C34/SUM('REGISTRO DE ACTIVOS NUEVOS'!$L$5:$L$256),0)</f>
        <v/>
      </c>
    </row>
    <row r="35">
      <c r="A35" s="10" t="inlineStr">
        <is>
          <t>PANTRY</t>
        </is>
      </c>
      <c r="B35" s="9">
        <f>COUNTIF('REGISTRO DE ACTIVOS NUEVOS'!$G$5:$G$256,$A35)</f>
        <v/>
      </c>
      <c r="C35" s="12">
        <f>SUMIF('REGISTRO DE ACTIVOS NUEVOS'!$G$5:$G$256,$A35,'REGISTRO DE ACTIVOS NUEVOS'!$L$5:$L$256)</f>
        <v/>
      </c>
      <c r="D35" s="37">
        <f>IFERROR(C35/SUM('REGISTRO DE ACTIVOS NUEVOS'!$L$5:$L$256),0)</f>
        <v/>
      </c>
    </row>
    <row r="36">
      <c r="A36" s="14" t="inlineStr">
        <is>
          <t>OFICINA DIRECTOR TECN.// PRODUCT.</t>
        </is>
      </c>
      <c r="B36" s="13">
        <f>COUNTIF('REGISTRO DE ACTIVOS NUEVOS'!$G$5:$G$256,$A36)</f>
        <v/>
      </c>
      <c r="C36" s="16">
        <f>SUMIF('REGISTRO DE ACTIVOS NUEVOS'!$G$5:$G$256,$A36,'REGISTRO DE ACTIVOS NUEVOS'!$L$5:$L$256)</f>
        <v/>
      </c>
      <c r="D36" s="38">
        <f>IFERROR(C36/SUM('REGISTRO DE ACTIVOS NUEVOS'!$L$5:$L$256),0)</f>
        <v/>
      </c>
    </row>
    <row r="37">
      <c r="A37" s="10" t="inlineStr">
        <is>
          <t>DEPARTAMENTO TECNICO</t>
        </is>
      </c>
      <c r="B37" s="9">
        <f>COUNTIF('REGISTRO DE ACTIVOS NUEVOS'!$G$5:$G$256,$A37)</f>
        <v/>
      </c>
      <c r="C37" s="12">
        <f>SUMIF('REGISTRO DE ACTIVOS NUEVOS'!$G$5:$G$256,$A37,'REGISTRO DE ACTIVOS NUEVOS'!$L$5:$L$256)</f>
        <v/>
      </c>
      <c r="D37" s="37">
        <f>IFERROR(C37/SUM('REGISTRO DE ACTIVOS NUEVOS'!$L$5:$L$256),0)</f>
        <v/>
      </c>
    </row>
    <row r="38">
      <c r="A38" s="14" t="inlineStr">
        <is>
          <t>DEPARTAMENTO PRODUCC.</t>
        </is>
      </c>
      <c r="B38" s="13">
        <f>COUNTIF('REGISTRO DE ACTIVOS NUEVOS'!$G$5:$G$256,$A38)</f>
        <v/>
      </c>
      <c r="C38" s="16">
        <f>SUMIF('REGISTRO DE ACTIVOS NUEVOS'!$G$5:$G$256,$A38,'REGISTRO DE ACTIVOS NUEVOS'!$L$5:$L$256)</f>
        <v/>
      </c>
      <c r="D38" s="38">
        <f>IFERROR(C38/SUM('REGISTRO DE ACTIVOS NUEVOS'!$L$5:$L$256),0)</f>
        <v/>
      </c>
    </row>
    <row r="39">
      <c r="A39" s="10" t="inlineStr">
        <is>
          <t>PLANTA JABONERIA</t>
        </is>
      </c>
      <c r="B39" s="9">
        <f>COUNTIF('REGISTRO DE ACTIVOS NUEVOS'!$G$5:$G$256,$A39)</f>
        <v/>
      </c>
      <c r="C39" s="12">
        <f>SUMIF('REGISTRO DE ACTIVOS NUEVOS'!$G$5:$G$256,$A39,'REGISTRO DE ACTIVOS NUEVOS'!$L$5:$L$256)</f>
        <v/>
      </c>
      <c r="D39" s="37">
        <f>IFERROR(C39/SUM('REGISTRO DE ACTIVOS NUEVOS'!$L$5:$L$256),0)</f>
        <v/>
      </c>
    </row>
    <row r="40">
      <c r="A40" s="14" t="inlineStr">
        <is>
          <t>PLANTA PERFUMERIA</t>
        </is>
      </c>
      <c r="B40" s="13">
        <f>COUNTIF('REGISTRO DE ACTIVOS NUEVOS'!$G$5:$G$256,$A40)</f>
        <v/>
      </c>
      <c r="C40" s="16">
        <f>SUMIF('REGISTRO DE ACTIVOS NUEVOS'!$G$5:$G$256,$A40,'REGISTRO DE ACTIVOS NUEVOS'!$L$5:$L$256)</f>
        <v/>
      </c>
      <c r="D40" s="38">
        <f>IFERROR(C40/SUM('REGISTRO DE ACTIVOS NUEVOS'!$L$5:$L$256),0)</f>
        <v/>
      </c>
    </row>
    <row r="41">
      <c r="A41" s="10" t="inlineStr">
        <is>
          <t>OFICINA DIRECTOR COMERCIAL</t>
        </is>
      </c>
      <c r="B41" s="9">
        <f>COUNTIF('REGISTRO DE ACTIVOS NUEVOS'!$G$5:$G$256,$A41)</f>
        <v/>
      </c>
      <c r="C41" s="12">
        <f>SUMIF('REGISTRO DE ACTIVOS NUEVOS'!$G$5:$G$256,$A41,'REGISTRO DE ACTIVOS NUEVOS'!$L$5:$L$256)</f>
        <v/>
      </c>
      <c r="D41" s="37">
        <f>IFERROR(C41/SUM('REGISTRO DE ACTIVOS NUEVOS'!$L$5:$L$256),0)</f>
        <v/>
      </c>
    </row>
    <row r="42">
      <c r="A42" s="14" t="inlineStr">
        <is>
          <t>DEPARTAMENTO VENTAS NACIONAL</t>
        </is>
      </c>
      <c r="B42" s="13">
        <f>COUNTIF('REGISTRO DE ACTIVOS NUEVOS'!$G$5:$G$256,$A42)</f>
        <v/>
      </c>
      <c r="C42" s="16">
        <f>SUMIF('REGISTRO DE ACTIVOS NUEVOS'!$G$5:$G$256,$A42,'REGISTRO DE ACTIVOS NUEVOS'!$L$5:$L$256)</f>
        <v/>
      </c>
      <c r="D42" s="38">
        <f>IFERROR(C42/SUM('REGISTRO DE ACTIVOS NUEVOS'!$L$5:$L$256),0)</f>
        <v/>
      </c>
    </row>
    <row r="43">
      <c r="A43" s="10" t="inlineStr">
        <is>
          <t>DEPARTAMENTO VENTAS INTERNACIONAL</t>
        </is>
      </c>
      <c r="B43" s="9">
        <f>COUNTIF('REGISTRO DE ACTIVOS NUEVOS'!$G$5:$G$256,$A43)</f>
        <v/>
      </c>
      <c r="C43" s="12">
        <f>SUMIF('REGISTRO DE ACTIVOS NUEVOS'!$G$5:$G$256,$A43,'REGISTRO DE ACTIVOS NUEVOS'!$L$5:$L$256)</f>
        <v/>
      </c>
      <c r="D43" s="37">
        <f>IFERROR(C43/SUM('REGISTRO DE ACTIVOS NUEVOS'!$L$5:$L$256),0)</f>
        <v/>
      </c>
    </row>
    <row r="44">
      <c r="A44" s="14" t="inlineStr">
        <is>
          <t>OFICINA DIRECTOR ECONOMIA</t>
        </is>
      </c>
      <c r="B44" s="13">
        <f>COUNTIF('REGISTRO DE ACTIVOS NUEVOS'!$G$5:$G$256,$A44)</f>
        <v/>
      </c>
      <c r="C44" s="16">
        <f>SUMIF('REGISTRO DE ACTIVOS NUEVOS'!$G$5:$G$256,$A44,'REGISTRO DE ACTIVOS NUEVOS'!$L$5:$L$256)</f>
        <v/>
      </c>
      <c r="D44" s="38">
        <f>IFERROR(C44/SUM('REGISTRO DE ACTIVOS NUEVOS'!$L$5:$L$256),0)</f>
        <v/>
      </c>
    </row>
    <row r="45">
      <c r="A45" s="10" t="inlineStr">
        <is>
          <t>DEPARTAMENTO CONTABILIDAD</t>
        </is>
      </c>
      <c r="B45" s="9">
        <f>COUNTIF('REGISTRO DE ACTIVOS NUEVOS'!$G$5:$G$256,$A45)</f>
        <v/>
      </c>
      <c r="C45" s="12">
        <f>SUMIF('REGISTRO DE ACTIVOS NUEVOS'!$G$5:$G$256,$A45,'REGISTRO DE ACTIVOS NUEVOS'!$L$5:$L$256)</f>
        <v/>
      </c>
      <c r="D45" s="37">
        <f>IFERROR(C45/SUM('REGISTRO DE ACTIVOS NUEVOS'!$L$5:$L$256),0)</f>
        <v/>
      </c>
    </row>
    <row r="46">
      <c r="A46" s="14" t="inlineStr">
        <is>
          <t>DEPARTAMENTO FINANZAS</t>
        </is>
      </c>
      <c r="B46" s="13">
        <f>COUNTIF('REGISTRO DE ACTIVOS NUEVOS'!$G$5:$G$256,$A46)</f>
        <v/>
      </c>
      <c r="C46" s="16">
        <f>SUMIF('REGISTRO DE ACTIVOS NUEVOS'!$G$5:$G$256,$A46,'REGISTRO DE ACTIVOS NUEVOS'!$L$5:$L$256)</f>
        <v/>
      </c>
      <c r="D46" s="38">
        <f>IFERROR(C46/SUM('REGISTRO DE ACTIVOS NUEVOS'!$L$5:$L$256),0)</f>
        <v/>
      </c>
    </row>
    <row r="47">
      <c r="A47" s="10" t="inlineStr">
        <is>
          <t>OFICINA DIRECTOR LOGISTICA</t>
        </is>
      </c>
      <c r="B47" s="9">
        <f>COUNTIF('REGISTRO DE ACTIVOS NUEVOS'!$G$5:$G$256,$A47)</f>
        <v/>
      </c>
      <c r="C47" s="12">
        <f>SUMIF('REGISTRO DE ACTIVOS NUEVOS'!$G$5:$G$256,$A47,'REGISTRO DE ACTIVOS NUEVOS'!$L$5:$L$256)</f>
        <v/>
      </c>
      <c r="D47" s="37">
        <f>IFERROR(C47/SUM('REGISTRO DE ACTIVOS NUEVOS'!$L$5:$L$256),0)</f>
        <v/>
      </c>
    </row>
    <row r="48">
      <c r="A48" s="14" t="inlineStr">
        <is>
          <t>DEPARTAMENTO TRANSPORTE</t>
        </is>
      </c>
      <c r="B48" s="13">
        <f>COUNTIF('REGISTRO DE ACTIVOS NUEVOS'!$G$5:$G$256,$A48)</f>
        <v/>
      </c>
      <c r="C48" s="16">
        <f>SUMIF('REGISTRO DE ACTIVOS NUEVOS'!$G$5:$G$256,$A48,'REGISTRO DE ACTIVOS NUEVOS'!$L$5:$L$256)</f>
        <v/>
      </c>
      <c r="D48" s="38">
        <f>IFERROR(C48/SUM('REGISTRO DE ACTIVOS NUEVOS'!$L$5:$L$256),0)</f>
        <v/>
      </c>
    </row>
    <row r="49">
      <c r="A49" s="10" t="inlineStr">
        <is>
          <t>ALMACEN JABONERIA</t>
        </is>
      </c>
      <c r="B49" s="9">
        <f>COUNTIF('REGISTRO DE ACTIVOS NUEVOS'!$G$5:$G$256,$A49)</f>
        <v/>
      </c>
      <c r="C49" s="12">
        <f>SUMIF('REGISTRO DE ACTIVOS NUEVOS'!$G$5:$G$256,$A49,'REGISTRO DE ACTIVOS NUEVOS'!$L$5:$L$256)</f>
        <v/>
      </c>
      <c r="D49" s="37">
        <f>IFERROR(C49/SUM('REGISTRO DE ACTIVOS NUEVOS'!$L$5:$L$256),0)</f>
        <v/>
      </c>
    </row>
    <row r="50">
      <c r="A50" s="14" t="inlineStr">
        <is>
          <t>ALMACEN PERFUMERIA</t>
        </is>
      </c>
      <c r="B50" s="13">
        <f>COUNTIF('REGISTRO DE ACTIVOS NUEVOS'!$G$5:$G$256,$A50)</f>
        <v/>
      </c>
      <c r="C50" s="16">
        <f>SUMIF('REGISTRO DE ACTIVOS NUEVOS'!$G$5:$G$256,$A50,'REGISTRO DE ACTIVOS NUEVOS'!$L$5:$L$256)</f>
        <v/>
      </c>
      <c r="D50" s="38">
        <f>IFERROR(C50/SUM('REGISTRO DE ACTIVOS NUEVOS'!$L$5:$L$256),0)</f>
        <v/>
      </c>
    </row>
    <row r="51">
      <c r="A51" s="29" t="inlineStr">
        <is>
          <t>Total</t>
        </is>
      </c>
      <c r="B51" s="27">
        <f>SUM(B31:B50)</f>
        <v/>
      </c>
      <c r="C51" s="30">
        <f>SUM(C31:C50)</f>
        <v/>
      </c>
      <c r="D51" s="39">
        <f>SUM(D31:D50)</f>
        <v/>
      </c>
    </row>
  </sheetData>
  <mergeCells count="5">
    <mergeCell ref="A1:D1"/>
    <mergeCell ref="A22:D22"/>
    <mergeCell ref="A12:D12"/>
    <mergeCell ref="A3:D3"/>
    <mergeCell ref="A29:D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22" customWidth="1" min="1" max="1"/>
    <col width="108" customWidth="1" min="2" max="2"/>
  </cols>
  <sheetData>
    <row r="1" ht="30" customHeight="1">
      <c r="A1" s="33" t="inlineStr">
        <is>
          <t>Notas, supuestos y trazabilidad — consolidado</t>
        </is>
      </c>
    </row>
    <row r="3" ht="22" customHeight="1">
      <c r="A3" s="34" t="inlineStr">
        <is>
          <t>Qué es este archivo</t>
        </is>
      </c>
    </row>
    <row r="4" ht="39" customHeight="1">
      <c r="A4" s="40" t="inlineStr">
        <is>
          <t>Contenido</t>
        </is>
      </c>
      <c r="B4" s="41" t="inlineStr">
        <is>
          <t>Los 252 activos de EMPRESA SUCHEL TROPICAL en una sola hoja: DIRECCION GENERAL (60) + TECNICO-PRODUCTIVA (77) + COMERCIAL (39) + ECONOMIA (49) + LOGISTICA (27). La columna No. reproduce la numeración correlativa 1..252 del archivo de origen.</t>
        </is>
      </c>
    </row>
    <row r="5" ht="39" customHeight="1">
      <c r="A5" s="40" t="inlineStr">
        <is>
          <t>Fuente</t>
        </is>
      </c>
      <c r="B5" s="41" t="inlineStr">
        <is>
          <t>Hoja «REGISTRO DE ACTIVOS NUEVOS» de «EJEMPLOS DE EMPRESAS Y AFT (1).xls». Este consolidado se armó leyendo los cinco registros por dirección ya entregados, no re-procesando el .xls, así que es exactamente la unión de esos cinco archivos.</t>
        </is>
      </c>
    </row>
    <row r="6" ht="26" customHeight="1">
      <c r="A6" s="40" t="inlineStr">
        <is>
          <t>Cómo leerlo</t>
        </is>
      </c>
      <c r="B6" s="41" t="inlineStr">
        <is>
          <t>Una línea azul gruesa separa cada dirección. El autofiltro de la fila de encabezados permite aislar una dirección, un área o un estado sin tocar los archivos individuales.</t>
        </is>
      </c>
    </row>
    <row r="7" ht="22" customHeight="1">
      <c r="A7" s="34" t="inlineStr">
        <is>
          <t>Código de colores</t>
        </is>
      </c>
    </row>
    <row r="8" ht="39" customHeight="1">
      <c r="A8" s="40" t="inlineStr">
        <is>
          <t>Encabezado azul</t>
        </is>
      </c>
      <c r="B8" s="41" t="inlineStr">
        <is>
          <t>MARCA, MODELO, SERIE, FECHA COMPRA y VALOR.CLP.: columnas VACÍAS en las 252 filas del origen. Todo lo que ves ahí fue GENERADO — plausible, no real. Reemplazar con el acta de recepción / factura antes de aprobar.</t>
        </is>
      </c>
    </row>
    <row r="9" ht="39" customHeight="1">
      <c r="A9" s="40" t="inlineStr">
        <is>
          <t>Celda ámbar</t>
        </is>
      </c>
      <c r="B9" s="41" t="inlineStr">
        <is>
          <t>Valor DEDUCIDO, no venía en el origen. Son las 27 filas de LOGISTICA (CATEGORIA y ESTADO vacías en las 27), más DG-042, DG-043, DG-048, DTP-28, DTP-55, DTP-57 y DTP-61. En la columna ESTADO el ámbar también marca MTTO y el rojo marca BAJA, que sí son dato real del origen.</t>
        </is>
      </c>
    </row>
    <row r="10" ht="15" customHeight="1">
      <c r="A10" s="40" t="inlineStr">
        <is>
          <t>Celda roja</t>
        </is>
      </c>
      <c r="B10" s="41" t="inlineStr">
        <is>
          <t>ESTADO = BAJA. Dato real del origen: DTP-34, DTP-46 y DTP-76.</t>
        </is>
      </c>
    </row>
    <row r="11" ht="22" customHeight="1">
      <c r="A11" s="34" t="inlineStr">
        <is>
          <t>Qué venía completo y qué no, por dirección</t>
        </is>
      </c>
    </row>
    <row r="12" ht="26" customHeight="1">
      <c r="A12" s="40" t="inlineStr">
        <is>
          <t>GENERAL (60)</t>
        </is>
      </c>
      <c r="B12" s="41" t="inlineStr">
        <is>
          <t>3 filas sin ESTADO (DG-042, DG-043, DG-048) y 1 sin CATEGORIA (DG-048). DG-016 venía como «CLIMATIZACION Y REFRIGERACION» y se normalizó a «EQUIPOS DE CLIMATIZACION Y REFRIGERACION».</t>
        </is>
      </c>
    </row>
    <row r="13" ht="26" customHeight="1">
      <c r="A13" s="40" t="inlineStr">
        <is>
          <t>TECNICO-PROD. (77)</t>
        </is>
      </c>
      <c r="B13" s="41" t="inlineStr">
        <is>
          <t>4 filas sin ESTADO (DTP-28, DTP-55, DTP-57, DTP-61), completadas con SERVICIO. DTP-39 venía como «4 LINEAS DE JABONERIA» (4 máquinas bajo un código) y quedó corregido — ver abajo.</t>
        </is>
      </c>
    </row>
    <row r="14" ht="65" customHeight="1">
      <c r="A14" s="40" t="inlineStr">
        <is>
          <t>LOGISTICA: dirección</t>
        </is>
      </c>
      <c r="B14" s="41" t="inlineStr">
        <is>
          <t>En la hoja de registro NO existe la celda «DIRECCION LOGISTICA»: la columna viene vacía en las 27 filas. Acá figura completa porque la hoja «EMPRESA SUCHEL TROPICAL» del mismo archivo sí la lista (fila 73). Si en cambio se carga el .xls original tal cual, el relleno hacia abajo del ETL arrastra DIRECCION ECONOMIA a esos 27 activos y quedan en la dirección equivocada, sin que nada avise.</t>
        </is>
      </c>
    </row>
    <row r="15" ht="15" customHeight="1">
      <c r="A15" s="40" t="inlineStr">
        <is>
          <t>COMERCIAL (39)</t>
        </is>
      </c>
      <c r="B15" s="41" t="inlineStr">
        <is>
          <t>Completo: CATEGORIA y ESTADO en las 39 filas.</t>
        </is>
      </c>
    </row>
    <row r="16" ht="26" customHeight="1">
      <c r="A16" s="40" t="inlineStr">
        <is>
          <t>ECONOMIA (49)</t>
        </is>
      </c>
      <c r="B16" s="41" t="inlineStr">
        <is>
          <t>Completo, y el único bloque enteramente en SERVICIO. Contabilidad y Finanzas tienen composición idéntica (19 activos cada uno).</t>
        </is>
      </c>
    </row>
    <row r="17" ht="39" customHeight="1">
      <c r="A17" s="40" t="inlineStr">
        <is>
          <t>LOGISTICA (27)</t>
        </is>
      </c>
      <c r="B17" s="41" t="inlineStr">
        <is>
          <t>El bloque con más deducción: CATEGORIA y ESTADO vacías en las 27 filas (0 de 27 en ambas, verificado sobre el .xls). La categoría se dedujo por tipo de bien según cómo está catalogado en las otras direcciones; el estado se asumió SERVICIO en las 27.</t>
        </is>
      </c>
    </row>
    <row r="18" ht="22" customHeight="1">
      <c r="A18" s="34" t="inlineStr">
        <is>
          <t>Nomenclatura — lo más importante a resolver antes de aprobar</t>
        </is>
      </c>
    </row>
    <row r="19" ht="91" customHeight="1">
      <c r="A19" s="42" t="inlineStr">
        <is>
          <t>Advertencia</t>
        </is>
      </c>
      <c r="B19" s="43" t="inlineStr">
        <is>
          <t>CORE resuelve el catálogo por NOMBRE EXACTO, y el archivo nombra el mismo bien de varias formas: «1 IMPRESORA»/«IMPRESORA», «1 BURO»/«BURO», «MESA BURO/ 4 GAVETAS», «1 SILLA GIRATORIA»/«SILLA GIRATORIA», «1 CREDENZA METALICA»/«CREDENZAS METALICAS»/«1 CREDENZA 4 GAVETAS, METALICA», «1 EQUIPO CLIMATIZACION 12000 BTU»/«1 EQUIPO CLIMA 12000 BTU» y «1 SOFA 3 PERONAS»/«1 SOFA 3 PLAZAS». Tal como están, cada variante crea una entrada de catálogo distinta para el mismo bien. Este consolidado es el mejor lugar para unificarlas, porque acá se ven las cinco direcciones juntas.</t>
        </is>
      </c>
    </row>
    <row r="20" ht="65" customHeight="1">
      <c r="A20" s="40" t="inlineStr">
        <is>
          <t>DTP-39 corregido</t>
        </is>
      </c>
      <c r="B20" s="41" t="inlineStr">
        <is>
          <t>El origen registraba «4 LINEAS DE JABONERIA»: 4 máquinas bajo un solo código, o sea 4 equipos compartiendo una etiqueta. Confirmado que la planta tiene 4 líneas en total (el «4» era el encabezado del grupo), DTP-39 quedó como «LINEA DE JABONERIA» — la línea 1 — y DTP-40, DTP-41 y DTP-42 son la 2, 3 y 4. Su valor bajó de 4 × línea a 1 × línea. Es el único NOMBRE AFT que difiere del texto literal del .xls por algo que no es una errata de tipeo.</t>
        </is>
      </c>
    </row>
    <row r="21" ht="39" customHeight="1">
      <c r="A21" s="40" t="inlineStr">
        <is>
          <t>Erratas corregidas</t>
        </is>
      </c>
      <c r="B21" s="41" t="inlineStr">
        <is>
          <t>«1MESA»→«1 MESA» (DG-012, DG-020), espacios sobrantes al inicio (DG-001, DG-012, DG-020, DTP-01), «3 PERONAS»→«3 PERSONAS» (DG-006, DTP-06, DC-02, DE-02) y el espacio inicial de « ALMACEN JABONERIA» / « ALMACEN PERFUMERIA».</t>
        </is>
      </c>
    </row>
    <row r="22" ht="39" customHeight="1">
      <c r="A22" s="40" t="inlineStr">
        <is>
          <t>Nombres respetados</t>
        </is>
      </c>
      <c r="B22" s="41" t="inlineStr">
        <is>
          <t>«OFICINA DIRECTOR TECN.// PRODUCT.», «DIRECTOR TECN. // PRODUCT.» y «DIRECTOR TRANSPORTE» (en vez de «JEFE DPTO. TRANSPORTE») se dejaron tal cual: CORE resuelve área y responsable por nombre exacto, así que normalizarlos crearía registros duplicados.</t>
        </is>
      </c>
    </row>
    <row r="23" ht="22" customHeight="1">
      <c r="A23" s="34" t="inlineStr">
        <is>
          <t>Sobre los valores en pesos</t>
        </is>
      </c>
    </row>
    <row r="24" ht="65" customHeight="1">
      <c r="A24" s="42" t="inlineStr">
        <is>
          <t>Advertencia</t>
        </is>
      </c>
      <c r="B24" s="43" t="inlineStr">
        <is>
          <t>El total del registro está dominado por las 13 líneas de producción de TECNOLOGIA (~96% del valor de esa dirección), y todas esas cifras las generé yo. Cualquier conclusión que salga hoy del Resumen — peso relativo de una dirección, ranking de áreas — está determinada por números inventados. Reemplazar primero las líneas de producción, los chillers, los compresores y el montacarga; el equipamiento de oficina casi no mueve la aguja.</t>
        </is>
      </c>
    </row>
    <row r="25" ht="26" customHeight="1">
      <c r="A25" s="40" t="inlineStr">
        <is>
          <t>VALOR.CLP.</t>
        </is>
      </c>
      <c r="B25" s="41" t="inlineStr">
        <is>
          <t>Valor de reposición referencial por tipo de bien. No es valor contable ni valor libro: no incorpora depreciación.</t>
        </is>
      </c>
    </row>
    <row r="26" ht="22" customHeight="1">
      <c r="A26" s="34" t="inlineStr">
        <is>
          <t>Compatibilidad con el ETL contable de SICSAFT</t>
        </is>
      </c>
    </row>
    <row r="27" ht="39" customHeight="1">
      <c r="A27" s="40" t="inlineStr">
        <is>
          <t>Hoja y encabezados</t>
        </is>
      </c>
      <c r="B27" s="41" t="inlineStr">
        <is>
          <t>El nombre de hoja «REGISTRO DE ACTIVOS NUEVOS» y los 13 encabezados coinciden con herramientas/etl-contable/mapeo/mapeo-ejemplo.json: el archivo se procesa tal cual con etl_contable.py y produce un lote de 252 filas.</t>
        </is>
      </c>
    </row>
    <row r="28" ht="26" customHeight="1">
      <c r="A28" s="40" t="inlineStr">
        <is>
          <t>Fila TOTAL</t>
        </is>
      </c>
      <c r="B28" s="41" t="inlineStr">
        <is>
          <t>Va sin CODIGO a propósito: el ETL descarta las filas sin codigoPatrimonial, así que no entra al lote como si fuera un activo.</t>
        </is>
      </c>
    </row>
    <row r="29" ht="39" customHeight="1">
      <c r="A29" s="40" t="inlineStr">
        <is>
          <t>Un lote o cinco</t>
        </is>
      </c>
      <c r="B29" s="41" t="inlineStr">
        <is>
          <t>Este consolidado sirve para revisar y para cargar todo de una. Si preferís aprobar dirección por dirección en el CCP, los cinco archivos individuales generan cinco lotes separados con el mismo contenido.</t>
        </is>
      </c>
    </row>
  </sheetData>
  <mergeCells count="7">
    <mergeCell ref="A26:B26"/>
    <mergeCell ref="A7:B7"/>
    <mergeCell ref="A11:B11"/>
    <mergeCell ref="A1:B1"/>
    <mergeCell ref="A23:B23"/>
    <mergeCell ref="A18:B18"/>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2026-09-07T20:10:30Z</dcterms:created>
  <dcterms:modified xmlns:dcterms="http://purl.org/dc/terms/" xmlns:xsi="http://www.w3.org/2001/XMLSchema-instance" xsi:type="dcterms:W3CDTF">2026-09-07T20:10:30Z</dcterms:modified>
</cp:coreProperties>
</file>