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CTIVOS NUEVO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sumen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'REGISTRO DE ACTIVOS NUEVOS'!$A$4:$M$31</definedName>
    <definedName name="_xlnm.Print_Titles" localSheetId="0">'REGISTRO DE ACTIVOS NUEVOS'!$4:$4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&quot;$&quot;#,##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CB8CB"/>
      <sz val="10"/>
    </font>
    <font>
      <name val="Arial"/>
      <b val="1"/>
      <color rgb="00FFFFFF"/>
      <sz val="10"/>
    </font>
    <font>
      <name val="Arial"/>
      <color rgb="000B1B33"/>
      <sz val="10"/>
    </font>
    <font>
      <name val="Arial"/>
      <color rgb="009A5B00"/>
      <sz val="10"/>
    </font>
    <font>
      <name val="Arial"/>
      <b val="1"/>
      <color rgb="000B1B33"/>
      <sz val="10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9A5B00"/>
      <sz val="10"/>
    </font>
  </fonts>
  <fills count="8">
    <fill>
      <patternFill/>
    </fill>
    <fill>
      <patternFill patternType="gray125"/>
    </fill>
    <fill>
      <patternFill patternType="solid">
        <fgColor rgb="00020B1E"/>
      </patternFill>
    </fill>
    <fill>
      <patternFill patternType="solid">
        <fgColor rgb="0005132A"/>
      </patternFill>
    </fill>
    <fill>
      <patternFill patternType="solid">
        <fgColor rgb="00144881"/>
      </patternFill>
    </fill>
    <fill>
      <patternFill patternType="solid">
        <fgColor rgb="00FFF3D6"/>
      </patternFill>
    </fill>
    <fill>
      <patternFill patternType="solid">
        <fgColor rgb="00EFF4FC"/>
      </patternFill>
    </fill>
    <fill>
      <patternFill patternType="solid">
        <fgColor rgb="00E2ECF9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 indent="1"/>
    </xf>
    <xf numFmtId="166" fontId="3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indent="1"/>
    </xf>
    <xf numFmtId="0" fontId="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SICSAFT</author>
  </authors>
  <commentList>
    <comment ref="E4" authorId="0" shapeId="0">
      <text>
        <t>Columna VACIA en las 27 filas del Excel de origen.
Cada valor se dedujo del propio archivo, por el tipo de bien
y por como esta catalogado el mismo bien en las otras
direcciones. Confirmar antes de aprobar el lote.</t>
      </text>
    </comment>
    <comment ref="F4" authorId="0" shapeId="0">
      <text>
        <t>Columna VACIA en las 27 filas del Excel de origen.
Cada valor se dedujo del propio archivo, por el tipo de bien
y por como esta catalogado el mismo bien en las otras
direcciones. Confirmar antes de aprobar el lote.</t>
      </text>
    </comment>
    <comment ref="H4" authorId="0" shapeId="0">
      <text>
        <t>Columna sin dato en el Excel de origen.
Valor de ejemplo generado: reemplazar por el dato real
del acta de recepcion / factura antes de aprobar el lote.</t>
      </text>
    </comment>
    <comment ref="I4" authorId="0" shapeId="0">
      <text>
        <t>Columna sin dato en el Excel de origen.
Valor de ejemplo generado: reemplazar por el dato real
del acta de recepcion / factura antes de aprobar el lote.</t>
      </text>
    </comment>
    <comment ref="J4" authorId="0" shapeId="0">
      <text>
        <t>Columna sin dato en el Excel de origen.
Valor de ejemplo generado: reemplazar por el dato real
del acta de recepcion / factura antes de aprobar el lote.</t>
      </text>
    </comment>
    <comment ref="K4" authorId="0" shapeId="0">
      <text>
        <t>Columna sin dato en el Excel de origen.
Valor de ejemplo generado: reemplazar por el dato real
del acta de recepcion / factura antes de aprobar el lote.</t>
      </text>
    </comment>
    <comment ref="L4" authorId="0" shapeId="0">
      <text>
        <t>Columna sin dato en el Excel de origen.
Valor de ejemplo generado: reemplazar por el dato real
del acta de recepcion / factura antes de aprobar el lote.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34" customWidth="1" min="4" max="4"/>
    <col width="34" customWidth="1" min="5" max="5"/>
    <col width="11" customWidth="1" min="6" max="6"/>
    <col width="34" customWidth="1" min="7" max="7"/>
    <col width="15" customWidth="1" min="8" max="8"/>
    <col width="28" customWidth="1" min="9" max="9"/>
    <col width="16" customWidth="1" min="10" max="10"/>
    <col width="14" customWidth="1" min="11" max="11"/>
    <col width="16" customWidth="1" min="12" max="12"/>
    <col width="28" customWidth="1" min="13" max="13"/>
  </cols>
  <sheetData>
    <row r="1" ht="34" customHeight="1">
      <c r="A1" s="1" t="inlineStr">
        <is>
          <t>CU-PAT — Gestión Patrimonial</t>
        </is>
      </c>
    </row>
    <row r="2" ht="20" customHeight="1">
      <c r="A2" s="2" t="inlineStr">
        <is>
          <t>EMPRESA SUCHEL TROPICAL  ·  DIRECCIÓN LOGÍSTICA  ·  27 activos  ·  registro completo</t>
        </is>
      </c>
    </row>
    <row r="3" ht="6" customHeight="1"/>
    <row r="4" ht="30" customHeight="1">
      <c r="A4" s="3" t="inlineStr">
        <is>
          <t>No.</t>
        </is>
      </c>
      <c r="B4" s="3" t="inlineStr">
        <is>
          <t>DIRECCION</t>
        </is>
      </c>
      <c r="C4" s="3" t="inlineStr">
        <is>
          <t>CODIGO</t>
        </is>
      </c>
      <c r="D4" s="3" t="inlineStr">
        <is>
          <t>NOMBRE AFT</t>
        </is>
      </c>
      <c r="E4" s="3" t="inlineStr">
        <is>
          <t>CATEGORIA</t>
        </is>
      </c>
      <c r="F4" s="3" t="inlineStr">
        <is>
          <t>ESTADO</t>
        </is>
      </c>
      <c r="G4" s="3" t="inlineStr">
        <is>
          <t>AREA</t>
        </is>
      </c>
      <c r="H4" s="4" t="inlineStr">
        <is>
          <t>MARCA</t>
        </is>
      </c>
      <c r="I4" s="4" t="inlineStr">
        <is>
          <t>MODELO</t>
        </is>
      </c>
      <c r="J4" s="4" t="inlineStr">
        <is>
          <t>SERIE</t>
        </is>
      </c>
      <c r="K4" s="4" t="inlineStr">
        <is>
          <t>FECHA COMPRA</t>
        </is>
      </c>
      <c r="L4" s="4" t="inlineStr">
        <is>
          <t>VALOR.CLP.</t>
        </is>
      </c>
      <c r="M4" s="3" t="inlineStr">
        <is>
          <t>RESPONSABLE</t>
        </is>
      </c>
    </row>
    <row r="5">
      <c r="A5" s="5" t="n">
        <v>1</v>
      </c>
      <c r="B5" s="6" t="inlineStr">
        <is>
          <t>DIRECCION LOGISTICA</t>
        </is>
      </c>
      <c r="C5" s="5" t="inlineStr">
        <is>
          <t>DL-01</t>
        </is>
      </c>
      <c r="D5" s="6" t="inlineStr">
        <is>
          <t>1 LAPTOP</t>
        </is>
      </c>
      <c r="E5" s="7" t="inlineStr">
        <is>
          <t>INFORMATICA</t>
        </is>
      </c>
      <c r="F5" s="8" t="inlineStr">
        <is>
          <t>SERVICIO</t>
        </is>
      </c>
      <c r="G5" s="6" t="inlineStr">
        <is>
          <t>OFICINA DIRECTOR LOGISTICA</t>
        </is>
      </c>
      <c r="H5" s="6" t="inlineStr">
        <is>
          <t>Lenovo</t>
        </is>
      </c>
      <c r="I5" s="6" t="inlineStr">
        <is>
          <t>ThinkPad E14 Gen 5</t>
        </is>
      </c>
      <c r="J5" s="5" t="inlineStr">
        <is>
          <t>SN-DL01-2186</t>
        </is>
      </c>
      <c r="K5" s="9" t="n">
        <v>44425</v>
      </c>
      <c r="L5" s="10" t="n">
        <v>749900</v>
      </c>
      <c r="M5" s="6" t="inlineStr">
        <is>
          <t>DIRECTOR LOGISTICA</t>
        </is>
      </c>
    </row>
    <row r="6">
      <c r="A6" s="11" t="n">
        <v>2</v>
      </c>
      <c r="B6" s="12" t="inlineStr">
        <is>
          <t>DIRECCION LOGISTICA</t>
        </is>
      </c>
      <c r="C6" s="11" t="inlineStr">
        <is>
          <t>DL-02</t>
        </is>
      </c>
      <c r="D6" s="12" t="inlineStr">
        <is>
          <t>1 BURO</t>
        </is>
      </c>
      <c r="E6" s="7" t="inlineStr">
        <is>
          <t>MOBILIARIO</t>
        </is>
      </c>
      <c r="F6" s="8" t="inlineStr">
        <is>
          <t>SERVICIO</t>
        </is>
      </c>
      <c r="G6" s="12" t="inlineStr">
        <is>
          <t>OFICINA DIRECTOR LOGISTICA</t>
        </is>
      </c>
      <c r="H6" s="12" t="inlineStr">
        <is>
          <t>Rosen</t>
        </is>
      </c>
      <c r="I6" s="12" t="inlineStr">
        <is>
          <t>Buro Ejecutivo BR-120</t>
        </is>
      </c>
      <c r="J6" s="11" t="inlineStr">
        <is>
          <t>SN-DL02-2323</t>
        </is>
      </c>
      <c r="K6" s="13" t="n">
        <v>44430</v>
      </c>
      <c r="L6" s="14" t="n">
        <v>159900</v>
      </c>
      <c r="M6" s="12" t="inlineStr">
        <is>
          <t>DIRECTOR LOGISTICA</t>
        </is>
      </c>
    </row>
    <row r="7">
      <c r="A7" s="5" t="n">
        <v>3</v>
      </c>
      <c r="B7" s="6" t="inlineStr">
        <is>
          <t>DIRECCION LOGISTICA</t>
        </is>
      </c>
      <c r="C7" s="5" t="inlineStr">
        <is>
          <t>DL-03</t>
        </is>
      </c>
      <c r="D7" s="6" t="inlineStr">
        <is>
          <t>1 SILLA GIRATORIA</t>
        </is>
      </c>
      <c r="E7" s="7" t="inlineStr">
        <is>
          <t>MOBILIARIO</t>
        </is>
      </c>
      <c r="F7" s="8" t="inlineStr">
        <is>
          <t>SERVICIO</t>
        </is>
      </c>
      <c r="G7" s="6" t="inlineStr">
        <is>
          <t>OFICINA DIRECTOR LOGISTICA</t>
        </is>
      </c>
      <c r="H7" s="6" t="inlineStr">
        <is>
          <t>Ergosillas</t>
        </is>
      </c>
      <c r="I7" s="6" t="inlineStr">
        <is>
          <t>Pro Ergo 120</t>
        </is>
      </c>
      <c r="J7" s="5" t="inlineStr">
        <is>
          <t>SN-DL03-2460</t>
        </is>
      </c>
      <c r="K7" s="9" t="n">
        <v>44435</v>
      </c>
      <c r="L7" s="10" t="n">
        <v>109900</v>
      </c>
      <c r="M7" s="6" t="inlineStr">
        <is>
          <t>DIRECTOR LOGISTICA</t>
        </is>
      </c>
    </row>
    <row r="8">
      <c r="A8" s="11" t="n">
        <v>4</v>
      </c>
      <c r="B8" s="12" t="inlineStr">
        <is>
          <t>DIRECCION LOGISTICA</t>
        </is>
      </c>
      <c r="C8" s="11" t="inlineStr">
        <is>
          <t>DL-04</t>
        </is>
      </c>
      <c r="D8" s="12" t="inlineStr">
        <is>
          <t>1 CREDENZA METALICA</t>
        </is>
      </c>
      <c r="E8" s="7" t="inlineStr">
        <is>
          <t>MOBILIARIO</t>
        </is>
      </c>
      <c r="F8" s="8" t="inlineStr">
        <is>
          <t>SERVICIO</t>
        </is>
      </c>
      <c r="G8" s="12" t="inlineStr">
        <is>
          <t>OFICINA DIRECTOR LOGISTICA</t>
        </is>
      </c>
      <c r="H8" s="12" t="inlineStr">
        <is>
          <t>Dimeiggs</t>
        </is>
      </c>
      <c r="I8" s="12" t="inlineStr">
        <is>
          <t>Credenza Metalica CRD-2P</t>
        </is>
      </c>
      <c r="J8" s="11" t="inlineStr">
        <is>
          <t>SN-DL04-2597</t>
        </is>
      </c>
      <c r="K8" s="13" t="n">
        <v>44425</v>
      </c>
      <c r="L8" s="14" t="n">
        <v>189900</v>
      </c>
      <c r="M8" s="12" t="inlineStr">
        <is>
          <t>DIRECTOR LOGISTICA</t>
        </is>
      </c>
    </row>
    <row r="9">
      <c r="A9" s="5" t="n">
        <v>5</v>
      </c>
      <c r="B9" s="6" t="inlineStr">
        <is>
          <t>DIRECCION LOGISTICA</t>
        </is>
      </c>
      <c r="C9" s="5" t="inlineStr">
        <is>
          <t>DL-05</t>
        </is>
      </c>
      <c r="D9" s="6" t="inlineStr">
        <is>
          <t>1 IMPRESORA</t>
        </is>
      </c>
      <c r="E9" s="7" t="inlineStr">
        <is>
          <t>INFORMATICA</t>
        </is>
      </c>
      <c r="F9" s="8" t="inlineStr">
        <is>
          <t>SERVICIO</t>
        </is>
      </c>
      <c r="G9" s="6" t="inlineStr">
        <is>
          <t>OFICINA DIRECTOR LOGISTICA</t>
        </is>
      </c>
      <c r="H9" s="6" t="inlineStr">
        <is>
          <t>Epson</t>
        </is>
      </c>
      <c r="I9" s="6" t="inlineStr">
        <is>
          <t>EcoTank L3250</t>
        </is>
      </c>
      <c r="J9" s="5" t="inlineStr">
        <is>
          <t>SN-DL05-2734</t>
        </is>
      </c>
      <c r="K9" s="9" t="n">
        <v>44430</v>
      </c>
      <c r="L9" s="10" t="n">
        <v>179900</v>
      </c>
      <c r="M9" s="6" t="inlineStr">
        <is>
          <t>DIRECTOR LOGISTICA</t>
        </is>
      </c>
    </row>
    <row r="10">
      <c r="A10" s="11" t="n">
        <v>6</v>
      </c>
      <c r="B10" s="12" t="inlineStr">
        <is>
          <t>DIRECCION LOGISTICA</t>
        </is>
      </c>
      <c r="C10" s="11" t="inlineStr">
        <is>
          <t>DL-06</t>
        </is>
      </c>
      <c r="D10" s="12" t="inlineStr">
        <is>
          <t>1 SOFA 3 PLAZAS</t>
        </is>
      </c>
      <c r="E10" s="7" t="inlineStr">
        <is>
          <t>MOBILIARIO</t>
        </is>
      </c>
      <c r="F10" s="8" t="inlineStr">
        <is>
          <t>SERVICIO</t>
        </is>
      </c>
      <c r="G10" s="12" t="inlineStr">
        <is>
          <t>OFICINA DIRECTOR LOGISTICA</t>
        </is>
      </c>
      <c r="H10" s="12" t="inlineStr">
        <is>
          <t>Rosen</t>
        </is>
      </c>
      <c r="I10" s="12" t="inlineStr">
        <is>
          <t>Milano 3 Cuerpos</t>
        </is>
      </c>
      <c r="J10" s="11" t="inlineStr">
        <is>
          <t>SN-DL06-2871</t>
        </is>
      </c>
      <c r="K10" s="13" t="n">
        <v>44435</v>
      </c>
      <c r="L10" s="14" t="n">
        <v>429900</v>
      </c>
      <c r="M10" s="12" t="inlineStr">
        <is>
          <t>DIRECTOR LOGISTICA</t>
        </is>
      </c>
    </row>
    <row r="11">
      <c r="A11" s="5" t="n">
        <v>7</v>
      </c>
      <c r="B11" s="6" t="inlineStr">
        <is>
          <t>DIRECCION LOGISTICA</t>
        </is>
      </c>
      <c r="C11" s="5" t="inlineStr">
        <is>
          <t>DL-07</t>
        </is>
      </c>
      <c r="D11" s="6" t="inlineStr">
        <is>
          <t>1 EQUIPO CLIMA 12000 BTU</t>
        </is>
      </c>
      <c r="E11" s="7" t="inlineStr">
        <is>
          <t>EQUIPOS DE CLIMATIZACION Y REFRIGERACION</t>
        </is>
      </c>
      <c r="F11" s="8" t="inlineStr">
        <is>
          <t>SERVICIO</t>
        </is>
      </c>
      <c r="G11" s="6" t="inlineStr">
        <is>
          <t>OFICINA DIRECTOR LOGISTICA</t>
        </is>
      </c>
      <c r="H11" s="6" t="inlineStr">
        <is>
          <t>Midea</t>
        </is>
      </c>
      <c r="I11" s="6" t="inlineStr">
        <is>
          <t>Xtreme Save 12.000 BTU</t>
        </is>
      </c>
      <c r="J11" s="5" t="inlineStr">
        <is>
          <t>SN-DL07-3008</t>
        </is>
      </c>
      <c r="K11" s="9" t="n">
        <v>44425</v>
      </c>
      <c r="L11" s="10" t="n">
        <v>389900</v>
      </c>
      <c r="M11" s="6" t="inlineStr">
        <is>
          <t>DIRECTOR LOGISTICA</t>
        </is>
      </c>
    </row>
    <row r="12">
      <c r="A12" s="11" t="n">
        <v>8</v>
      </c>
      <c r="B12" s="12" t="inlineStr">
        <is>
          <t>DIRECCION LOGISTICA</t>
        </is>
      </c>
      <c r="C12" s="11" t="inlineStr">
        <is>
          <t>DL-08</t>
        </is>
      </c>
      <c r="D12" s="12" t="inlineStr">
        <is>
          <t>BUTACA CON BRAZOS</t>
        </is>
      </c>
      <c r="E12" s="7" t="inlineStr">
        <is>
          <t>MOBILIARIO</t>
        </is>
      </c>
      <c r="F12" s="8" t="inlineStr">
        <is>
          <t>SERVICIO</t>
        </is>
      </c>
      <c r="G12" s="12" t="inlineStr">
        <is>
          <t>OFICINA DIRECTOR LOGISTICA</t>
        </is>
      </c>
      <c r="H12" s="12" t="inlineStr">
        <is>
          <t>Mica</t>
        </is>
      </c>
      <c r="I12" s="12" t="inlineStr">
        <is>
          <t>Oslo con Brazos</t>
        </is>
      </c>
      <c r="J12" s="11" t="inlineStr">
        <is>
          <t>SN-DL08-3145</t>
        </is>
      </c>
      <c r="K12" s="13" t="n">
        <v>44430</v>
      </c>
      <c r="L12" s="14" t="n">
        <v>94990</v>
      </c>
      <c r="M12" s="12" t="inlineStr">
        <is>
          <t>DIRECTOR LOGISTICA</t>
        </is>
      </c>
    </row>
    <row r="13">
      <c r="A13" s="5" t="n">
        <v>9</v>
      </c>
      <c r="B13" s="6" t="inlineStr">
        <is>
          <t>DIRECCION LOGISTICA</t>
        </is>
      </c>
      <c r="C13" s="5" t="inlineStr">
        <is>
          <t>DL-09</t>
        </is>
      </c>
      <c r="D13" s="6" t="inlineStr">
        <is>
          <t>BUTACA CON BRAZOS</t>
        </is>
      </c>
      <c r="E13" s="7" t="inlineStr">
        <is>
          <t>MOBILIARIO</t>
        </is>
      </c>
      <c r="F13" s="8" t="inlineStr">
        <is>
          <t>SERVICIO</t>
        </is>
      </c>
      <c r="G13" s="6" t="inlineStr">
        <is>
          <t>OFICINA DIRECTOR LOGISTICA</t>
        </is>
      </c>
      <c r="H13" s="6" t="inlineStr">
        <is>
          <t>Mica</t>
        </is>
      </c>
      <c r="I13" s="6" t="inlineStr">
        <is>
          <t>Oslo con Brazos</t>
        </is>
      </c>
      <c r="J13" s="5" t="inlineStr">
        <is>
          <t>SN-DL09-3282</t>
        </is>
      </c>
      <c r="K13" s="9" t="n">
        <v>44435</v>
      </c>
      <c r="L13" s="10" t="n">
        <v>94990</v>
      </c>
      <c r="M13" s="6" t="inlineStr">
        <is>
          <t>DIRECTOR LOGISTICA</t>
        </is>
      </c>
    </row>
    <row r="14">
      <c r="A14" s="11" t="n">
        <v>10</v>
      </c>
      <c r="B14" s="12" t="inlineStr">
        <is>
          <t>DIRECCION LOGISTICA</t>
        </is>
      </c>
      <c r="C14" s="11" t="inlineStr">
        <is>
          <t>DL-10</t>
        </is>
      </c>
      <c r="D14" s="12" t="inlineStr">
        <is>
          <t>1 PC ESCRITORIO</t>
        </is>
      </c>
      <c r="E14" s="7" t="inlineStr">
        <is>
          <t>INFORMATICA</t>
        </is>
      </c>
      <c r="F14" s="8" t="inlineStr">
        <is>
          <t>SERVICIO</t>
        </is>
      </c>
      <c r="G14" s="12" t="inlineStr">
        <is>
          <t>DEPARTAMENTO TRANSPORTE</t>
        </is>
      </c>
      <c r="H14" s="12" t="inlineStr">
        <is>
          <t>HP</t>
        </is>
      </c>
      <c r="I14" s="12" t="inlineStr">
        <is>
          <t>ProDesk 400 G9 SFF</t>
        </is>
      </c>
      <c r="J14" s="11" t="inlineStr">
        <is>
          <t>SN-DL10-3419</t>
        </is>
      </c>
      <c r="K14" s="13" t="n">
        <v>44657</v>
      </c>
      <c r="L14" s="14" t="n">
        <v>549900</v>
      </c>
      <c r="M14" s="12" t="inlineStr">
        <is>
          <t>DIRECTOR TRANSPORTE</t>
        </is>
      </c>
    </row>
    <row r="15">
      <c r="A15" s="5" t="n">
        <v>11</v>
      </c>
      <c r="B15" s="6" t="inlineStr">
        <is>
          <t>DIRECCION LOGISTICA</t>
        </is>
      </c>
      <c r="C15" s="5" t="inlineStr">
        <is>
          <t>DL-11</t>
        </is>
      </c>
      <c r="D15" s="6" t="inlineStr">
        <is>
          <t>1 BURO</t>
        </is>
      </c>
      <c r="E15" s="7" t="inlineStr">
        <is>
          <t>MOBILIARIO</t>
        </is>
      </c>
      <c r="F15" s="8" t="inlineStr">
        <is>
          <t>SERVICIO</t>
        </is>
      </c>
      <c r="G15" s="6" t="inlineStr">
        <is>
          <t>DEPARTAMENTO TRANSPORTE</t>
        </is>
      </c>
      <c r="H15" s="6" t="inlineStr">
        <is>
          <t>Rosen</t>
        </is>
      </c>
      <c r="I15" s="6" t="inlineStr">
        <is>
          <t>Buro Ejecutivo BR-120</t>
        </is>
      </c>
      <c r="J15" s="5" t="inlineStr">
        <is>
          <t>SN-DL11-3556</t>
        </is>
      </c>
      <c r="K15" s="9" t="n">
        <v>44662</v>
      </c>
      <c r="L15" s="10" t="n">
        <v>159900</v>
      </c>
      <c r="M15" s="6" t="inlineStr">
        <is>
          <t>DIRECTOR TRANSPORTE</t>
        </is>
      </c>
    </row>
    <row r="16">
      <c r="A16" s="11" t="n">
        <v>12</v>
      </c>
      <c r="B16" s="12" t="inlineStr">
        <is>
          <t>DIRECCION LOGISTICA</t>
        </is>
      </c>
      <c r="C16" s="11" t="inlineStr">
        <is>
          <t>DL-12</t>
        </is>
      </c>
      <c r="D16" s="12" t="inlineStr">
        <is>
          <t>1 SILLA GIRATORIA</t>
        </is>
      </c>
      <c r="E16" s="7" t="inlineStr">
        <is>
          <t>MOBILIARIO</t>
        </is>
      </c>
      <c r="F16" s="8" t="inlineStr">
        <is>
          <t>SERVICIO</t>
        </is>
      </c>
      <c r="G16" s="12" t="inlineStr">
        <is>
          <t>DEPARTAMENTO TRANSPORTE</t>
        </is>
      </c>
      <c r="H16" s="12" t="inlineStr">
        <is>
          <t>Ergosillas</t>
        </is>
      </c>
      <c r="I16" s="12" t="inlineStr">
        <is>
          <t>Pro Ergo 120</t>
        </is>
      </c>
      <c r="J16" s="11" t="inlineStr">
        <is>
          <t>SN-DL12-3693</t>
        </is>
      </c>
      <c r="K16" s="13" t="n">
        <v>44667</v>
      </c>
      <c r="L16" s="14" t="n">
        <v>109900</v>
      </c>
      <c r="M16" s="12" t="inlineStr">
        <is>
          <t>DIRECTOR TRANSPORTE</t>
        </is>
      </c>
    </row>
    <row r="17">
      <c r="A17" s="5" t="n">
        <v>13</v>
      </c>
      <c r="B17" s="6" t="inlineStr">
        <is>
          <t>DIRECCION LOGISTICA</t>
        </is>
      </c>
      <c r="C17" s="5" t="inlineStr">
        <is>
          <t>DL-13</t>
        </is>
      </c>
      <c r="D17" s="6" t="inlineStr">
        <is>
          <t>1 CREDENZA METALICA</t>
        </is>
      </c>
      <c r="E17" s="7" t="inlineStr">
        <is>
          <t>MOBILIARIO</t>
        </is>
      </c>
      <c r="F17" s="8" t="inlineStr">
        <is>
          <t>SERVICIO</t>
        </is>
      </c>
      <c r="G17" s="6" t="inlineStr">
        <is>
          <t>DEPARTAMENTO TRANSPORTE</t>
        </is>
      </c>
      <c r="H17" s="6" t="inlineStr">
        <is>
          <t>Dimeiggs</t>
        </is>
      </c>
      <c r="I17" s="6" t="inlineStr">
        <is>
          <t>Credenza Metalica CRD-2P</t>
        </is>
      </c>
      <c r="J17" s="5" t="inlineStr">
        <is>
          <t>SN-DL13-3830</t>
        </is>
      </c>
      <c r="K17" s="9" t="n">
        <v>44657</v>
      </c>
      <c r="L17" s="10" t="n">
        <v>189900</v>
      </c>
      <c r="M17" s="6" t="inlineStr">
        <is>
          <t>DIRECTOR TRANSPORTE</t>
        </is>
      </c>
    </row>
    <row r="18">
      <c r="A18" s="11" t="n">
        <v>14</v>
      </c>
      <c r="B18" s="12" t="inlineStr">
        <is>
          <t>DIRECCION LOGISTICA</t>
        </is>
      </c>
      <c r="C18" s="11" t="inlineStr">
        <is>
          <t>DL-14</t>
        </is>
      </c>
      <c r="D18" s="12" t="inlineStr">
        <is>
          <t>1 IMPRESORA</t>
        </is>
      </c>
      <c r="E18" s="7" t="inlineStr">
        <is>
          <t>INFORMATICA</t>
        </is>
      </c>
      <c r="F18" s="8" t="inlineStr">
        <is>
          <t>SERVICIO</t>
        </is>
      </c>
      <c r="G18" s="12" t="inlineStr">
        <is>
          <t>DEPARTAMENTO TRANSPORTE</t>
        </is>
      </c>
      <c r="H18" s="12" t="inlineStr">
        <is>
          <t>Epson</t>
        </is>
      </c>
      <c r="I18" s="12" t="inlineStr">
        <is>
          <t>EcoTank L3250</t>
        </is>
      </c>
      <c r="J18" s="11" t="inlineStr">
        <is>
          <t>SN-DL14-3967</t>
        </is>
      </c>
      <c r="K18" s="13" t="n">
        <v>44662</v>
      </c>
      <c r="L18" s="14" t="n">
        <v>179900</v>
      </c>
      <c r="M18" s="12" t="inlineStr">
        <is>
          <t>DIRECTOR TRANSPORTE</t>
        </is>
      </c>
    </row>
    <row r="19">
      <c r="A19" s="5" t="n">
        <v>15</v>
      </c>
      <c r="B19" s="6" t="inlineStr">
        <is>
          <t>DIRECCION LOGISTICA</t>
        </is>
      </c>
      <c r="C19" s="5" t="inlineStr">
        <is>
          <t>DL-15</t>
        </is>
      </c>
      <c r="D19" s="6" t="inlineStr">
        <is>
          <t>1 VENTILADOR</t>
        </is>
      </c>
      <c r="E19" s="7" t="inlineStr">
        <is>
          <t>EQUIPOS DE CLIMATIZACION Y REFRIGERACION</t>
        </is>
      </c>
      <c r="F19" s="8" t="inlineStr">
        <is>
          <t>SERVICIO</t>
        </is>
      </c>
      <c r="G19" s="6" t="inlineStr">
        <is>
          <t>DEPARTAMENTO TRANSPORTE</t>
        </is>
      </c>
      <c r="H19" s="6" t="inlineStr">
        <is>
          <t>Recco</t>
        </is>
      </c>
      <c r="I19" s="6" t="inlineStr">
        <is>
          <t>RVP-45PM Pedestal</t>
        </is>
      </c>
      <c r="J19" s="5" t="inlineStr">
        <is>
          <t>SN-DL15-4104</t>
        </is>
      </c>
      <c r="K19" s="9" t="n">
        <v>44667</v>
      </c>
      <c r="L19" s="10" t="n">
        <v>39990</v>
      </c>
      <c r="M19" s="6" t="inlineStr">
        <is>
          <t>DIRECTOR TRANSPORTE</t>
        </is>
      </c>
    </row>
    <row r="20">
      <c r="A20" s="11" t="n">
        <v>16</v>
      </c>
      <c r="B20" s="12" t="inlineStr">
        <is>
          <t>DIRECCION LOGISTICA</t>
        </is>
      </c>
      <c r="C20" s="11" t="inlineStr">
        <is>
          <t>DL-16</t>
        </is>
      </c>
      <c r="D20" s="12" t="inlineStr">
        <is>
          <t>1 PC ESCRITORIO</t>
        </is>
      </c>
      <c r="E20" s="7" t="inlineStr">
        <is>
          <t>INFORMATICA</t>
        </is>
      </c>
      <c r="F20" s="8" t="inlineStr">
        <is>
          <t>SERVICIO</t>
        </is>
      </c>
      <c r="G20" s="12" t="inlineStr">
        <is>
          <t>ALMACEN JABONERIA</t>
        </is>
      </c>
      <c r="H20" s="12" t="inlineStr">
        <is>
          <t>HP</t>
        </is>
      </c>
      <c r="I20" s="12" t="inlineStr">
        <is>
          <t>ProDesk 400 G9 SFF</t>
        </is>
      </c>
      <c r="J20" s="11" t="inlineStr">
        <is>
          <t>SN-DL16-4241</t>
        </is>
      </c>
      <c r="K20" s="13" t="n">
        <v>44726</v>
      </c>
      <c r="L20" s="14" t="n">
        <v>549900</v>
      </c>
      <c r="M20" s="12" t="inlineStr">
        <is>
          <t>JEFE ALMACEN JABONERIA</t>
        </is>
      </c>
    </row>
    <row r="21">
      <c r="A21" s="5" t="n">
        <v>17</v>
      </c>
      <c r="B21" s="6" t="inlineStr">
        <is>
          <t>DIRECCION LOGISTICA</t>
        </is>
      </c>
      <c r="C21" s="5" t="inlineStr">
        <is>
          <t>DL-17</t>
        </is>
      </c>
      <c r="D21" s="6" t="inlineStr">
        <is>
          <t>1 BURO</t>
        </is>
      </c>
      <c r="E21" s="7" t="inlineStr">
        <is>
          <t>MOBILIARIO</t>
        </is>
      </c>
      <c r="F21" s="8" t="inlineStr">
        <is>
          <t>SERVICIO</t>
        </is>
      </c>
      <c r="G21" s="6" t="inlineStr">
        <is>
          <t>ALMACEN JABONERIA</t>
        </is>
      </c>
      <c r="H21" s="6" t="inlineStr">
        <is>
          <t>Rosen</t>
        </is>
      </c>
      <c r="I21" s="6" t="inlineStr">
        <is>
          <t>Buro Ejecutivo BR-120</t>
        </is>
      </c>
      <c r="J21" s="5" t="inlineStr">
        <is>
          <t>SN-DL17-4378</t>
        </is>
      </c>
      <c r="K21" s="9" t="n">
        <v>44731</v>
      </c>
      <c r="L21" s="10" t="n">
        <v>159900</v>
      </c>
      <c r="M21" s="6" t="inlineStr">
        <is>
          <t>JEFE ALMACEN JABONERIA</t>
        </is>
      </c>
    </row>
    <row r="22">
      <c r="A22" s="11" t="n">
        <v>18</v>
      </c>
      <c r="B22" s="12" t="inlineStr">
        <is>
          <t>DIRECCION LOGISTICA</t>
        </is>
      </c>
      <c r="C22" s="11" t="inlineStr">
        <is>
          <t>DL-18</t>
        </is>
      </c>
      <c r="D22" s="12" t="inlineStr">
        <is>
          <t>1 SILLA GIRATORIA</t>
        </is>
      </c>
      <c r="E22" s="7" t="inlineStr">
        <is>
          <t>MOBILIARIO</t>
        </is>
      </c>
      <c r="F22" s="8" t="inlineStr">
        <is>
          <t>SERVICIO</t>
        </is>
      </c>
      <c r="G22" s="12" t="inlineStr">
        <is>
          <t>ALMACEN JABONERIA</t>
        </is>
      </c>
      <c r="H22" s="12" t="inlineStr">
        <is>
          <t>Ergosillas</t>
        </is>
      </c>
      <c r="I22" s="12" t="inlineStr">
        <is>
          <t>Pro Ergo 120</t>
        </is>
      </c>
      <c r="J22" s="11" t="inlineStr">
        <is>
          <t>SN-DL18-4515</t>
        </is>
      </c>
      <c r="K22" s="13" t="n">
        <v>44736</v>
      </c>
      <c r="L22" s="14" t="n">
        <v>109900</v>
      </c>
      <c r="M22" s="12" t="inlineStr">
        <is>
          <t>JEFE ALMACEN JABONERIA</t>
        </is>
      </c>
    </row>
    <row r="23">
      <c r="A23" s="5" t="n">
        <v>19</v>
      </c>
      <c r="B23" s="6" t="inlineStr">
        <is>
          <t>DIRECCION LOGISTICA</t>
        </is>
      </c>
      <c r="C23" s="5" t="inlineStr">
        <is>
          <t>DL-19</t>
        </is>
      </c>
      <c r="D23" s="6" t="inlineStr">
        <is>
          <t>1 CREDENZA METALICA</t>
        </is>
      </c>
      <c r="E23" s="7" t="inlineStr">
        <is>
          <t>MOBILIARIO</t>
        </is>
      </c>
      <c r="F23" s="8" t="inlineStr">
        <is>
          <t>SERVICIO</t>
        </is>
      </c>
      <c r="G23" s="6" t="inlineStr">
        <is>
          <t>ALMACEN JABONERIA</t>
        </is>
      </c>
      <c r="H23" s="6" t="inlineStr">
        <is>
          <t>Dimeiggs</t>
        </is>
      </c>
      <c r="I23" s="6" t="inlineStr">
        <is>
          <t>Credenza Metalica CRD-2P</t>
        </is>
      </c>
      <c r="J23" s="5" t="inlineStr">
        <is>
          <t>SN-DL19-4652</t>
        </is>
      </c>
      <c r="K23" s="9" t="n">
        <v>44726</v>
      </c>
      <c r="L23" s="10" t="n">
        <v>189900</v>
      </c>
      <c r="M23" s="6" t="inlineStr">
        <is>
          <t>JEFE ALMACEN JABONERIA</t>
        </is>
      </c>
    </row>
    <row r="24">
      <c r="A24" s="11" t="n">
        <v>20</v>
      </c>
      <c r="B24" s="12" t="inlineStr">
        <is>
          <t>DIRECCION LOGISTICA</t>
        </is>
      </c>
      <c r="C24" s="11" t="inlineStr">
        <is>
          <t>DL-20</t>
        </is>
      </c>
      <c r="D24" s="12" t="inlineStr">
        <is>
          <t>1 IMPRESORA</t>
        </is>
      </c>
      <c r="E24" s="7" t="inlineStr">
        <is>
          <t>INFORMATICA</t>
        </is>
      </c>
      <c r="F24" s="8" t="inlineStr">
        <is>
          <t>SERVICIO</t>
        </is>
      </c>
      <c r="G24" s="12" t="inlineStr">
        <is>
          <t>ALMACEN JABONERIA</t>
        </is>
      </c>
      <c r="H24" s="12" t="inlineStr">
        <is>
          <t>Epson</t>
        </is>
      </c>
      <c r="I24" s="12" t="inlineStr">
        <is>
          <t>EcoTank L3250</t>
        </is>
      </c>
      <c r="J24" s="11" t="inlineStr">
        <is>
          <t>SN-DL20-4789</t>
        </is>
      </c>
      <c r="K24" s="13" t="n">
        <v>44731</v>
      </c>
      <c r="L24" s="14" t="n">
        <v>179900</v>
      </c>
      <c r="M24" s="12" t="inlineStr">
        <is>
          <t>JEFE ALMACEN JABONERIA</t>
        </is>
      </c>
    </row>
    <row r="25">
      <c r="A25" s="5" t="n">
        <v>21</v>
      </c>
      <c r="B25" s="6" t="inlineStr">
        <is>
          <t>DIRECCION LOGISTICA</t>
        </is>
      </c>
      <c r="C25" s="5" t="inlineStr">
        <is>
          <t>DL-21</t>
        </is>
      </c>
      <c r="D25" s="6" t="inlineStr">
        <is>
          <t>1 VENTILADOR</t>
        </is>
      </c>
      <c r="E25" s="7" t="inlineStr">
        <is>
          <t>EQUIPOS DE CLIMATIZACION Y REFRIGERACION</t>
        </is>
      </c>
      <c r="F25" s="8" t="inlineStr">
        <is>
          <t>SERVICIO</t>
        </is>
      </c>
      <c r="G25" s="6" t="inlineStr">
        <is>
          <t>ALMACEN JABONERIA</t>
        </is>
      </c>
      <c r="H25" s="6" t="inlineStr">
        <is>
          <t>Recco</t>
        </is>
      </c>
      <c r="I25" s="6" t="inlineStr">
        <is>
          <t>RVP-45PM Pedestal</t>
        </is>
      </c>
      <c r="J25" s="5" t="inlineStr">
        <is>
          <t>SN-DL21-4926</t>
        </is>
      </c>
      <c r="K25" s="9" t="n">
        <v>44736</v>
      </c>
      <c r="L25" s="10" t="n">
        <v>39990</v>
      </c>
      <c r="M25" s="6" t="inlineStr">
        <is>
          <t>JEFE ALMACEN JABONERIA</t>
        </is>
      </c>
    </row>
    <row r="26">
      <c r="A26" s="11" t="n">
        <v>22</v>
      </c>
      <c r="B26" s="12" t="inlineStr">
        <is>
          <t>DIRECCION LOGISTICA</t>
        </is>
      </c>
      <c r="C26" s="11" t="inlineStr">
        <is>
          <t>DL-22</t>
        </is>
      </c>
      <c r="D26" s="12" t="inlineStr">
        <is>
          <t>1 PC ESCRITORIO</t>
        </is>
      </c>
      <c r="E26" s="7" t="inlineStr">
        <is>
          <t>INFORMATICA</t>
        </is>
      </c>
      <c r="F26" s="8" t="inlineStr">
        <is>
          <t>SERVICIO</t>
        </is>
      </c>
      <c r="G26" s="12" t="inlineStr">
        <is>
          <t>ALMACEN PERFUMERIA</t>
        </is>
      </c>
      <c r="H26" s="12" t="inlineStr">
        <is>
          <t>HP</t>
        </is>
      </c>
      <c r="I26" s="12" t="inlineStr">
        <is>
          <t>ProDesk 400 G9 SFF</t>
        </is>
      </c>
      <c r="J26" s="11" t="inlineStr">
        <is>
          <t>SN-DL22-5063</t>
        </is>
      </c>
      <c r="K26" s="13" t="n">
        <v>44873</v>
      </c>
      <c r="L26" s="14" t="n">
        <v>549900</v>
      </c>
      <c r="M26" s="12" t="inlineStr">
        <is>
          <t>JEFE ALMACEN PERFUMERIA</t>
        </is>
      </c>
    </row>
    <row r="27">
      <c r="A27" s="5" t="n">
        <v>23</v>
      </c>
      <c r="B27" s="6" t="inlineStr">
        <is>
          <t>DIRECCION LOGISTICA</t>
        </is>
      </c>
      <c r="C27" s="5" t="inlineStr">
        <is>
          <t>DL-23</t>
        </is>
      </c>
      <c r="D27" s="6" t="inlineStr">
        <is>
          <t>1 BURO</t>
        </is>
      </c>
      <c r="E27" s="7" t="inlineStr">
        <is>
          <t>MOBILIARIO</t>
        </is>
      </c>
      <c r="F27" s="8" t="inlineStr">
        <is>
          <t>SERVICIO</t>
        </is>
      </c>
      <c r="G27" s="6" t="inlineStr">
        <is>
          <t>ALMACEN PERFUMERIA</t>
        </is>
      </c>
      <c r="H27" s="6" t="inlineStr">
        <is>
          <t>Rosen</t>
        </is>
      </c>
      <c r="I27" s="6" t="inlineStr">
        <is>
          <t>Buro Ejecutivo BR-120</t>
        </is>
      </c>
      <c r="J27" s="5" t="inlineStr">
        <is>
          <t>SN-DL23-5200</t>
        </is>
      </c>
      <c r="K27" s="9" t="n">
        <v>44878</v>
      </c>
      <c r="L27" s="10" t="n">
        <v>159900</v>
      </c>
      <c r="M27" s="6" t="inlineStr">
        <is>
          <t>JEFE ALMACEN PERFUMERIA</t>
        </is>
      </c>
    </row>
    <row r="28">
      <c r="A28" s="11" t="n">
        <v>24</v>
      </c>
      <c r="B28" s="12" t="inlineStr">
        <is>
          <t>DIRECCION LOGISTICA</t>
        </is>
      </c>
      <c r="C28" s="11" t="inlineStr">
        <is>
          <t>DL-24</t>
        </is>
      </c>
      <c r="D28" s="12" t="inlineStr">
        <is>
          <t>1 SILLA GIRATORIA</t>
        </is>
      </c>
      <c r="E28" s="7" t="inlineStr">
        <is>
          <t>MOBILIARIO</t>
        </is>
      </c>
      <c r="F28" s="8" t="inlineStr">
        <is>
          <t>SERVICIO</t>
        </is>
      </c>
      <c r="G28" s="12" t="inlineStr">
        <is>
          <t>ALMACEN PERFUMERIA</t>
        </is>
      </c>
      <c r="H28" s="12" t="inlineStr">
        <is>
          <t>Ergosillas</t>
        </is>
      </c>
      <c r="I28" s="12" t="inlineStr">
        <is>
          <t>Pro Ergo 120</t>
        </is>
      </c>
      <c r="J28" s="11" t="inlineStr">
        <is>
          <t>SN-DL24-5337</t>
        </is>
      </c>
      <c r="K28" s="13" t="n">
        <v>44883</v>
      </c>
      <c r="L28" s="14" t="n">
        <v>109900</v>
      </c>
      <c r="M28" s="12" t="inlineStr">
        <is>
          <t>JEFE ALMACEN PERFUMERIA</t>
        </is>
      </c>
    </row>
    <row r="29">
      <c r="A29" s="5" t="n">
        <v>25</v>
      </c>
      <c r="B29" s="6" t="inlineStr">
        <is>
          <t>DIRECCION LOGISTICA</t>
        </is>
      </c>
      <c r="C29" s="5" t="inlineStr">
        <is>
          <t>DL-25</t>
        </is>
      </c>
      <c r="D29" s="6" t="inlineStr">
        <is>
          <t>1 CREDENZA METALICA</t>
        </is>
      </c>
      <c r="E29" s="7" t="inlineStr">
        <is>
          <t>MOBILIARIO</t>
        </is>
      </c>
      <c r="F29" s="8" t="inlineStr">
        <is>
          <t>SERVICIO</t>
        </is>
      </c>
      <c r="G29" s="6" t="inlineStr">
        <is>
          <t>ALMACEN PERFUMERIA</t>
        </is>
      </c>
      <c r="H29" s="6" t="inlineStr">
        <is>
          <t>Dimeiggs</t>
        </is>
      </c>
      <c r="I29" s="6" t="inlineStr">
        <is>
          <t>Credenza Metalica CRD-2P</t>
        </is>
      </c>
      <c r="J29" s="5" t="inlineStr">
        <is>
          <t>SN-DL25-5474</t>
        </is>
      </c>
      <c r="K29" s="9" t="n">
        <v>44873</v>
      </c>
      <c r="L29" s="10" t="n">
        <v>189900</v>
      </c>
      <c r="M29" s="6" t="inlineStr">
        <is>
          <t>JEFE ALMACEN PERFUMERIA</t>
        </is>
      </c>
    </row>
    <row r="30">
      <c r="A30" s="11" t="n">
        <v>26</v>
      </c>
      <c r="B30" s="12" t="inlineStr">
        <is>
          <t>DIRECCION LOGISTICA</t>
        </is>
      </c>
      <c r="C30" s="11" t="inlineStr">
        <is>
          <t>DL-26</t>
        </is>
      </c>
      <c r="D30" s="12" t="inlineStr">
        <is>
          <t>1 IMPRESORA</t>
        </is>
      </c>
      <c r="E30" s="7" t="inlineStr">
        <is>
          <t>INFORMATICA</t>
        </is>
      </c>
      <c r="F30" s="8" t="inlineStr">
        <is>
          <t>SERVICIO</t>
        </is>
      </c>
      <c r="G30" s="12" t="inlineStr">
        <is>
          <t>ALMACEN PERFUMERIA</t>
        </is>
      </c>
      <c r="H30" s="12" t="inlineStr">
        <is>
          <t>Epson</t>
        </is>
      </c>
      <c r="I30" s="12" t="inlineStr">
        <is>
          <t>EcoTank L3250</t>
        </is>
      </c>
      <c r="J30" s="11" t="inlineStr">
        <is>
          <t>SN-DL26-5611</t>
        </is>
      </c>
      <c r="K30" s="13" t="n">
        <v>44878</v>
      </c>
      <c r="L30" s="14" t="n">
        <v>179900</v>
      </c>
      <c r="M30" s="12" t="inlineStr">
        <is>
          <t>JEFE ALMACEN PERFUMERIA</t>
        </is>
      </c>
    </row>
    <row r="31">
      <c r="A31" s="5" t="n">
        <v>27</v>
      </c>
      <c r="B31" s="6" t="inlineStr">
        <is>
          <t>DIRECCION LOGISTICA</t>
        </is>
      </c>
      <c r="C31" s="5" t="inlineStr">
        <is>
          <t>DL-27</t>
        </is>
      </c>
      <c r="D31" s="6" t="inlineStr">
        <is>
          <t>1 VENTILADOR</t>
        </is>
      </c>
      <c r="E31" s="7" t="inlineStr">
        <is>
          <t>EQUIPOS DE CLIMATIZACION Y REFRIGERACION</t>
        </is>
      </c>
      <c r="F31" s="8" t="inlineStr">
        <is>
          <t>SERVICIO</t>
        </is>
      </c>
      <c r="G31" s="6" t="inlineStr">
        <is>
          <t>ALMACEN PERFUMERIA</t>
        </is>
      </c>
      <c r="H31" s="6" t="inlineStr">
        <is>
          <t>Recco</t>
        </is>
      </c>
      <c r="I31" s="6" t="inlineStr">
        <is>
          <t>RVP-45PM Pedestal</t>
        </is>
      </c>
      <c r="J31" s="5" t="inlineStr">
        <is>
          <t>SN-DL27-5748</t>
        </is>
      </c>
      <c r="K31" s="9" t="n">
        <v>44883</v>
      </c>
      <c r="L31" s="10" t="n">
        <v>39990</v>
      </c>
      <c r="M31" s="6" t="inlineStr">
        <is>
          <t>JEFE ALMACEN PERFUMERIA</t>
        </is>
      </c>
    </row>
    <row r="32" ht="22" customHeight="1">
      <c r="A32" s="15" t="inlineStr">
        <is>
          <t>TOTAL</t>
        </is>
      </c>
      <c r="B32" s="16" t="n"/>
      <c r="C32" s="16" t="n"/>
      <c r="D32" s="17">
        <f>COUNTA(C5:C31)&amp;" activos registrados"</f>
        <v/>
      </c>
      <c r="E32" s="16" t="n"/>
      <c r="F32" s="16" t="n"/>
      <c r="G32" s="16" t="n"/>
      <c r="H32" s="16" t="n"/>
      <c r="I32" s="16" t="n"/>
      <c r="J32" s="16" t="n"/>
      <c r="K32" s="16" t="n"/>
      <c r="L32" s="18">
        <f>SUM(L5:L31)</f>
        <v/>
      </c>
      <c r="M32" s="16" t="n"/>
    </row>
  </sheetData>
  <autoFilter ref="A4:M31"/>
  <mergeCells count="2">
    <mergeCell ref="A2:M2"/>
    <mergeCell ref="A1:M1"/>
  </mergeCells>
  <dataValidations count="4">
    <dataValidation sqref="E5:E31" showDropDown="0" showInputMessage="0" showErrorMessage="0" allowBlank="1" errorTitle="Valor no permitido" error="Valor fuera del catalogo vigente." type="list">
      <formula1>=Listas!$A$2:$A$7</formula1>
    </dataValidation>
    <dataValidation sqref="F5:F31" showDropDown="0" showInputMessage="0" showErrorMessage="0" allowBlank="1" errorTitle="Valor no permitido" error="Valor fuera del catalogo vigente." type="list">
      <formula1>=Listas!$B$2:$B$4</formula1>
    </dataValidation>
    <dataValidation sqref="B5:B31" showDropDown="0" showInputMessage="0" showErrorMessage="0" allowBlank="1" errorTitle="Valor no permitido" error="Valor fuera del catalogo vigente." type="list">
      <formula1>=Listas!$C$2:$C$6</formula1>
    </dataValidation>
    <dataValidation sqref="G5:G31" showDropDown="0" showInputMessage="0" showErrorMessage="0" allowBlank="1" errorTitle="Valor no permitido" error="Valor fuera del catalogo vigente." type="list">
      <formula1>=Listas!$D$2:$D$5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9" t="inlineStr">
        <is>
          <t>CATEGORIA</t>
        </is>
      </c>
      <c r="B1" s="19" t="inlineStr">
        <is>
          <t>ESTADO</t>
        </is>
      </c>
      <c r="C1" s="19" t="inlineStr">
        <is>
          <t>DIRECCION</t>
        </is>
      </c>
      <c r="D1" s="19" t="inlineStr">
        <is>
          <t>AREA</t>
        </is>
      </c>
    </row>
    <row r="2">
      <c r="A2" s="20" t="inlineStr">
        <is>
          <t>MOBILIARIO</t>
        </is>
      </c>
      <c r="B2" s="20" t="inlineStr">
        <is>
          <t>SERVICIO</t>
        </is>
      </c>
      <c r="C2" s="20" t="inlineStr">
        <is>
          <t>DIRECCION GENERAL</t>
        </is>
      </c>
      <c r="D2" s="20" t="inlineStr">
        <is>
          <t>OFICINA DIRECTOR LOGISTICA</t>
        </is>
      </c>
    </row>
    <row r="3">
      <c r="A3" s="20" t="inlineStr">
        <is>
          <t>INFORMATICA</t>
        </is>
      </c>
      <c r="B3" s="20" t="inlineStr">
        <is>
          <t>MTTO</t>
        </is>
      </c>
      <c r="C3" s="20" t="inlineStr">
        <is>
          <t>DIRECCION TECNICO-PRODUCTIVA</t>
        </is>
      </c>
      <c r="D3" s="20" t="inlineStr">
        <is>
          <t>DEPARTAMENTO TRANSPORTE</t>
        </is>
      </c>
    </row>
    <row r="4">
      <c r="A4" s="20" t="inlineStr">
        <is>
          <t>EQUIPOS DE CLIMATIZACION Y REFRIGERACION</t>
        </is>
      </c>
      <c r="B4" s="20" t="inlineStr">
        <is>
          <t>BAJA</t>
        </is>
      </c>
      <c r="C4" s="20" t="inlineStr">
        <is>
          <t>DIRECCION COMERCIAL</t>
        </is>
      </c>
      <c r="D4" s="20" t="inlineStr">
        <is>
          <t>ALMACEN JABONERIA</t>
        </is>
      </c>
    </row>
    <row r="5">
      <c r="A5" s="20" t="inlineStr">
        <is>
          <t>ELECTRODOMESTICOS</t>
        </is>
      </c>
      <c r="C5" s="20" t="inlineStr">
        <is>
          <t>DIRECCION ECONOMIA</t>
        </is>
      </c>
      <c r="D5" s="20" t="inlineStr">
        <is>
          <t>ALMACEN PERFUMERIA</t>
        </is>
      </c>
    </row>
    <row r="6">
      <c r="A6" s="20" t="inlineStr">
        <is>
          <t>TECNOLOGIA</t>
        </is>
      </c>
      <c r="C6" s="20" t="inlineStr">
        <is>
          <t>DIRECCION LOGISTICA</t>
        </is>
      </c>
    </row>
    <row r="7">
      <c r="A7" s="20" t="inlineStr">
        <is>
          <t>TRANSPORTE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3" customWidth="1" min="4" max="4"/>
  </cols>
  <sheetData>
    <row r="1" ht="30" customHeight="1">
      <c r="A1" s="21" t="inlineStr">
        <is>
          <t>Resumen del registro</t>
        </is>
      </c>
    </row>
    <row r="2" ht="8" customHeight="1"/>
    <row r="3" ht="22" customHeight="1">
      <c r="A3" s="22" t="inlineStr">
        <is>
          <t>Por área</t>
        </is>
      </c>
    </row>
    <row r="4">
      <c r="A4" s="23" t="inlineStr">
        <is>
          <t>Área</t>
        </is>
      </c>
      <c r="B4" s="24" t="inlineStr">
        <is>
          <t>Activos</t>
        </is>
      </c>
      <c r="C4" s="24" t="inlineStr">
        <is>
          <t>Valor total</t>
        </is>
      </c>
      <c r="D4" s="24" t="inlineStr">
        <is>
          <t>% del valor</t>
        </is>
      </c>
    </row>
    <row r="5">
      <c r="A5" s="12" t="inlineStr">
        <is>
          <t>OFICINA DIRECTOR LOGISTICA</t>
        </is>
      </c>
      <c r="B5" s="11">
        <f>COUNTIF('REGISTRO DE ACTIVOS NUEVOS'!$G$5:$G$31,$A5)</f>
        <v/>
      </c>
      <c r="C5" s="14">
        <f>SUMIF('REGISTRO DE ACTIVOS NUEVOS'!$G$5:$G$31,$A5,'REGISTRO DE ACTIVOS NUEVOS'!$L$5:$L$31)</f>
        <v/>
      </c>
      <c r="D5" s="25">
        <f>IFERROR(C5/SUM('REGISTRO DE ACTIVOS NUEVOS'!$L$5:$L$31),0)</f>
        <v/>
      </c>
    </row>
    <row r="6">
      <c r="A6" s="6" t="inlineStr">
        <is>
          <t>DEPARTAMENTO TRANSPORTE</t>
        </is>
      </c>
      <c r="B6" s="5">
        <f>COUNTIF('REGISTRO DE ACTIVOS NUEVOS'!$G$5:$G$31,$A6)</f>
        <v/>
      </c>
      <c r="C6" s="10">
        <f>SUMIF('REGISTRO DE ACTIVOS NUEVOS'!$G$5:$G$31,$A6,'REGISTRO DE ACTIVOS NUEVOS'!$L$5:$L$31)</f>
        <v/>
      </c>
      <c r="D6" s="26">
        <f>IFERROR(C6/SUM('REGISTRO DE ACTIVOS NUEVOS'!$L$5:$L$31),0)</f>
        <v/>
      </c>
    </row>
    <row r="7">
      <c r="A7" s="12" t="inlineStr">
        <is>
          <t>ALMACEN JABONERIA</t>
        </is>
      </c>
      <c r="B7" s="11">
        <f>COUNTIF('REGISTRO DE ACTIVOS NUEVOS'!$G$5:$G$31,$A7)</f>
        <v/>
      </c>
      <c r="C7" s="14">
        <f>SUMIF('REGISTRO DE ACTIVOS NUEVOS'!$G$5:$G$31,$A7,'REGISTRO DE ACTIVOS NUEVOS'!$L$5:$L$31)</f>
        <v/>
      </c>
      <c r="D7" s="25">
        <f>IFERROR(C7/SUM('REGISTRO DE ACTIVOS NUEVOS'!$L$5:$L$31),0)</f>
        <v/>
      </c>
    </row>
    <row r="8">
      <c r="A8" s="6" t="inlineStr">
        <is>
          <t>ALMACEN PERFUMERIA</t>
        </is>
      </c>
      <c r="B8" s="5">
        <f>COUNTIF('REGISTRO DE ACTIVOS NUEVOS'!$G$5:$G$31,$A8)</f>
        <v/>
      </c>
      <c r="C8" s="10">
        <f>SUMIF('REGISTRO DE ACTIVOS NUEVOS'!$G$5:$G$31,$A8,'REGISTRO DE ACTIVOS NUEVOS'!$L$5:$L$31)</f>
        <v/>
      </c>
      <c r="D8" s="26">
        <f>IFERROR(C8/SUM('REGISTRO DE ACTIVOS NUEVOS'!$L$5:$L$31),0)</f>
        <v/>
      </c>
    </row>
    <row r="9">
      <c r="A9" s="17" t="inlineStr">
        <is>
          <t>Total</t>
        </is>
      </c>
      <c r="B9" s="15">
        <f>SUM(B5:B8)</f>
        <v/>
      </c>
      <c r="C9" s="18">
        <f>SUM(C5:C8)</f>
        <v/>
      </c>
      <c r="D9" s="27">
        <f>SUM(D5:D8)</f>
        <v/>
      </c>
    </row>
    <row r="11" ht="22" customHeight="1">
      <c r="A11" s="22" t="inlineStr">
        <is>
          <t>Por categoría</t>
        </is>
      </c>
    </row>
    <row r="12">
      <c r="A12" s="23" t="inlineStr">
        <is>
          <t>Categoría</t>
        </is>
      </c>
      <c r="B12" s="24" t="inlineStr">
        <is>
          <t>Activos</t>
        </is>
      </c>
      <c r="C12" s="24" t="inlineStr">
        <is>
          <t>Valor total</t>
        </is>
      </c>
      <c r="D12" s="24" t="inlineStr">
        <is>
          <t>% del valor</t>
        </is>
      </c>
    </row>
    <row r="13">
      <c r="A13" s="12" t="inlineStr">
        <is>
          <t>INFORMATICA</t>
        </is>
      </c>
      <c r="B13" s="11">
        <f>COUNTIF('REGISTRO DE ACTIVOS NUEVOS'!$E$5:$E$31,$A13)</f>
        <v/>
      </c>
      <c r="C13" s="14">
        <f>SUMIF('REGISTRO DE ACTIVOS NUEVOS'!$E$5:$E$31,$A13,'REGISTRO DE ACTIVOS NUEVOS'!$L$5:$L$31)</f>
        <v/>
      </c>
      <c r="D13" s="25">
        <f>IFERROR(C13/SUM('REGISTRO DE ACTIVOS NUEVOS'!$L$5:$L$31),0)</f>
        <v/>
      </c>
    </row>
    <row r="14">
      <c r="A14" s="6" t="inlineStr">
        <is>
          <t>MOBILIARIO</t>
        </is>
      </c>
      <c r="B14" s="5">
        <f>COUNTIF('REGISTRO DE ACTIVOS NUEVOS'!$E$5:$E$31,$A14)</f>
        <v/>
      </c>
      <c r="C14" s="10">
        <f>SUMIF('REGISTRO DE ACTIVOS NUEVOS'!$E$5:$E$31,$A14,'REGISTRO DE ACTIVOS NUEVOS'!$L$5:$L$31)</f>
        <v/>
      </c>
      <c r="D14" s="26">
        <f>IFERROR(C14/SUM('REGISTRO DE ACTIVOS NUEVOS'!$L$5:$L$31),0)</f>
        <v/>
      </c>
    </row>
    <row r="15">
      <c r="A15" s="12" t="inlineStr">
        <is>
          <t>EQUIPOS DE CLIMATIZACION Y REFRIGERACION</t>
        </is>
      </c>
      <c r="B15" s="11">
        <f>COUNTIF('REGISTRO DE ACTIVOS NUEVOS'!$E$5:$E$31,$A15)</f>
        <v/>
      </c>
      <c r="C15" s="14">
        <f>SUMIF('REGISTRO DE ACTIVOS NUEVOS'!$E$5:$E$31,$A15,'REGISTRO DE ACTIVOS NUEVOS'!$L$5:$L$31)</f>
        <v/>
      </c>
      <c r="D15" s="25">
        <f>IFERROR(C15/SUM('REGISTRO DE ACTIVOS NUEVOS'!$L$5:$L$31),0)</f>
        <v/>
      </c>
    </row>
    <row r="16">
      <c r="A16" s="17" t="inlineStr">
        <is>
          <t>Total</t>
        </is>
      </c>
      <c r="B16" s="15">
        <f>SUM(B13:B15)</f>
        <v/>
      </c>
      <c r="C16" s="18">
        <f>SUM(C13:C15)</f>
        <v/>
      </c>
      <c r="D16" s="27">
        <f>SUM(D13:D15)</f>
        <v/>
      </c>
    </row>
    <row r="18" ht="22" customHeight="1">
      <c r="A18" s="22" t="inlineStr">
        <is>
          <t>Por estado</t>
        </is>
      </c>
    </row>
    <row r="19">
      <c r="A19" s="23" t="inlineStr">
        <is>
          <t>Estado</t>
        </is>
      </c>
      <c r="B19" s="24" t="inlineStr">
        <is>
          <t>Activos</t>
        </is>
      </c>
      <c r="C19" s="24" t="inlineStr">
        <is>
          <t>Valor total</t>
        </is>
      </c>
      <c r="D19" s="24" t="inlineStr">
        <is>
          <t>% del valor</t>
        </is>
      </c>
    </row>
    <row r="20">
      <c r="A20" s="12" t="inlineStr">
        <is>
          <t>SERVICIO</t>
        </is>
      </c>
      <c r="B20" s="11">
        <f>COUNTIF('REGISTRO DE ACTIVOS NUEVOS'!$F$5:$F$31,$A20)</f>
        <v/>
      </c>
      <c r="C20" s="14">
        <f>SUMIF('REGISTRO DE ACTIVOS NUEVOS'!$F$5:$F$31,$A20,'REGISTRO DE ACTIVOS NUEVOS'!$L$5:$L$31)</f>
        <v/>
      </c>
      <c r="D20" s="25">
        <f>IFERROR(C20/SUM('REGISTRO DE ACTIVOS NUEVOS'!$L$5:$L$31),0)</f>
        <v/>
      </c>
    </row>
    <row r="21">
      <c r="A21" s="6" t="inlineStr">
        <is>
          <t>MTTO</t>
        </is>
      </c>
      <c r="B21" s="5">
        <f>COUNTIF('REGISTRO DE ACTIVOS NUEVOS'!$F$5:$F$31,$A21)</f>
        <v/>
      </c>
      <c r="C21" s="10">
        <f>SUMIF('REGISTRO DE ACTIVOS NUEVOS'!$F$5:$F$31,$A21,'REGISTRO DE ACTIVOS NUEVOS'!$L$5:$L$31)</f>
        <v/>
      </c>
      <c r="D21" s="26">
        <f>IFERROR(C21/SUM('REGISTRO DE ACTIVOS NUEVOS'!$L$5:$L$31),0)</f>
        <v/>
      </c>
    </row>
    <row r="22">
      <c r="A22" s="12" t="inlineStr">
        <is>
          <t>BAJA</t>
        </is>
      </c>
      <c r="B22" s="11">
        <f>COUNTIF('REGISTRO DE ACTIVOS NUEVOS'!$F$5:$F$31,$A22)</f>
        <v/>
      </c>
      <c r="C22" s="14">
        <f>SUMIF('REGISTRO DE ACTIVOS NUEVOS'!$F$5:$F$31,$A22,'REGISTRO DE ACTIVOS NUEVOS'!$L$5:$L$31)</f>
        <v/>
      </c>
      <c r="D22" s="25">
        <f>IFERROR(C22/SUM('REGISTRO DE ACTIVOS NUEVOS'!$L$5:$L$31),0)</f>
        <v/>
      </c>
    </row>
    <row r="23">
      <c r="A23" s="17" t="inlineStr">
        <is>
          <t>Total</t>
        </is>
      </c>
      <c r="B23" s="15">
        <f>SUM(B20:B22)</f>
        <v/>
      </c>
      <c r="C23" s="18">
        <f>SUM(C20:C22)</f>
        <v/>
      </c>
      <c r="D23" s="27">
        <f>SUM(D20:D22)</f>
        <v/>
      </c>
    </row>
  </sheetData>
  <mergeCells count="4">
    <mergeCell ref="A1:D1"/>
    <mergeCell ref="A18:D18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0" customHeight="1">
      <c r="A1" s="21" t="inlineStr">
        <is>
          <t>Notas, supuestos y trazabilidad</t>
        </is>
      </c>
    </row>
    <row r="3" ht="22" customHeight="1">
      <c r="A3" s="22" t="inlineStr">
        <is>
          <t>Origen del dato</t>
        </is>
      </c>
    </row>
    <row r="4" ht="39" customHeight="1">
      <c r="A4" s="28" t="inlineStr">
        <is>
          <t>Fuente</t>
        </is>
      </c>
      <c r="B4" s="29" t="inlineStr">
        <is>
          <t>Hoja «REGISTRO DE ACTIVOS NUEVOS» de «EJEMPLOS DE EMPRESAS Y AFT (1).xls» (EMPRESA SUCHEL TROPICAL): bloque DIRECCION LOGISTICA, códigos DL-01 a DL-27. Es el último bloque del archivo: con éste quedan cubiertos los 252 activos.</t>
        </is>
      </c>
    </row>
    <row r="5" ht="22" customHeight="1">
      <c r="A5" s="22" t="inlineStr">
        <is>
          <t>CATEGORIA y ESTADO — deducidas, no venían en el origen</t>
        </is>
      </c>
    </row>
    <row r="6" ht="52" customHeight="1">
      <c r="A6" s="30" t="inlineStr">
        <is>
          <t>Advertencia</t>
        </is>
      </c>
      <c r="B6" s="31" t="inlineStr">
        <is>
          <t>Este es el único bloque del archivo donde CATEGORIA y ESTADO están vacías en las 27 filas (verificado sobre el .xls: 0 de 27 en ambas columnas). Los valores que ves fueron DEDUCIDOS y están marcados en ámbar en la hoja de registro. Hay que confirmarlos antes de aprobar el lote.</t>
        </is>
      </c>
    </row>
    <row r="7" ht="52" customHeight="1">
      <c r="A7" s="28" t="inlineStr">
        <is>
          <t>Cómo se dedujo CATEGORIA</t>
        </is>
      </c>
      <c r="B7" s="29" t="inlineStr">
        <is>
          <t>Por el tipo de bien, usando cómo está catalogado ese mismo bien en las otras cuatro direcciones del propio archivo: LAPTOP, IMPRESORA y PC ESCRITORIO → INFORMATICA; BURO, SILLA GIRATORIA, CREDENZA METALICA, SOFA y BUTACA → MOBILIARIO; EQUIPO CLIMA 12000 BTU y VENTILADOR → EQUIPOS DE CLIMATIZACION Y REFRIGERACION. Ninguna es una categoría nueva.</t>
        </is>
      </c>
    </row>
    <row r="8" ht="52" customHeight="1">
      <c r="A8" s="28" t="inlineStr">
        <is>
          <t>Cómo se dedujo ESTADO</t>
        </is>
      </c>
      <c r="B8" s="29" t="inlineStr">
        <is>
          <t>SERVICIO en las 27. Es el valor por defecto en todo el archivo (222 de las 252 filas lo traen explícito) y no hay ninguna señal en el origen de que algún activo de LOGISTICA esté en MTTO o de BAJA. Es la deducción más débil de este registro: si el levantamiento en terreno dice otra cosa, corregir acá.</t>
        </is>
      </c>
    </row>
    <row r="9" ht="39" customHeight="1">
      <c r="A9" s="28" t="inlineStr">
        <is>
          <t>Alternativa</t>
        </is>
      </c>
      <c r="B9" s="29" t="inlineStr">
        <is>
          <t>Si preferís no asumir la categoría, el ETL de SICSAFT tiene el camino previsto: con «categoria_por_defecto» las filas sin categoría entran como SIN CATEGORIA y el Profesional de AFT las reclasifica en la revisión, en vez de rechazar el lote entero.</t>
        </is>
      </c>
    </row>
    <row r="10" ht="22" customHeight="1">
      <c r="A10" s="22" t="inlineStr">
        <is>
          <t>Rellenado a partir del propio Excel (dato real, sólo desagregado)</t>
        </is>
      </c>
    </row>
    <row r="11" ht="91" customHeight="1">
      <c r="A11" s="28" t="inlineStr">
        <is>
          <t>DIRECCION</t>
        </is>
      </c>
      <c r="B11" s="29" t="inlineStr">
        <is>
          <t>OJO — en la hoja de registro NO existe la celda «DIRECCION LOGISTICA»: la columna está vacía en las 27 filas y el bloque no abre con su dirección, a diferencia de las otras cuatro. Se completó como DIRECCION LOGISTICA porque así figura en la hoja «EMPRESA SUCHEL TROPICAL» del mismo archivo (fila 73), con OFICINA DIRECTOR LOGISTICA y DIRECTOR LOGISTICA colgando de ella. Consecuencia práctica: si se carga el .xls original tal cual, el relleno hacia abajo del ETL arrastra DIRECCION ECONOMIA a estos 27 activos y quedan asignados a la dirección equivocada.</t>
        </is>
      </c>
    </row>
    <row r="12" ht="39" customHeight="1">
      <c r="A12" s="28" t="inlineStr">
        <is>
          <t>AREA</t>
        </is>
      </c>
      <c r="B12" s="29" t="inlineStr">
        <is>
          <t>Venía sólo en la fila que abre cada bloque. Replicada hacia abajo: DL-01..09 OFICINA DIRECTOR LOGISTICA / DL-10..15 DEPARTAMENTO TRANSPORTE / DL-16..21 ALMACEN JABONERIA / DL-22..27 ALMACEN PERFUMERIA.</t>
        </is>
      </c>
    </row>
    <row r="13" ht="39" customHeight="1">
      <c r="A13" s="28" t="inlineStr">
        <is>
          <t>RESPONSABLE</t>
        </is>
      </c>
      <c r="B13" s="29" t="inlineStr">
        <is>
          <t>Mismo criterio que AREA: DIRECTOR LOGISTICA / DIRECTOR TRANSPORTE / JEFE ALMACEN JABONERIA / JEFE ALMACEN PERFUMERIA. Ojo con DL-10..15: el origen dice «DIRECTOR TRANSPORTE» y no «JEFE DPTO. TRANSPORTE», que es el patrón del resto de los departamentos. Se respetó tal cual.</t>
        </is>
      </c>
    </row>
    <row r="14" ht="39" customHeight="1">
      <c r="A14" s="28" t="inlineStr">
        <is>
          <t>Espacio inicial</t>
        </is>
      </c>
      <c r="B14" s="29" t="inlineStr">
        <is>
          <t>En el .xls las áreas figuran como « ALMACEN JABONERIA» y « ALMACEN PERFUMERIA», con un espacio al inicio. Se escribieron sin ese espacio: el ETL lo elimina igual al normalizar, y dejarlo sólo invita a que una carga manual cree un área duplicada invisible.</t>
        </is>
      </c>
    </row>
    <row r="15" ht="22" customHeight="1">
      <c r="A15" s="22" t="inlineStr">
        <is>
          <t>Nomenclatura — revisar antes de aprobar el lote</t>
        </is>
      </c>
    </row>
    <row r="16" ht="39" customHeight="1">
      <c r="A16" s="28" t="inlineStr">
        <is>
          <t>DL-06</t>
        </is>
      </c>
      <c r="B16" s="29" t="inlineStr">
        <is>
          <t>«1 SOFA 3 PLAZAS» es una tercera forma de nombrar el mismo mueble: DG-006, DTP-06, DC-02 y DE-02 lo llaman «1 SOFA 3 PERONAS» (con la errata) y acá es «3 PLAZAS». Como CORE resuelve el catálogo por nombre exacto, conviene unificar los tres.</t>
        </is>
      </c>
    </row>
    <row r="17" ht="39" customHeight="1">
      <c r="A17" s="28" t="inlineStr">
        <is>
          <t>Variantes</t>
        </is>
      </c>
      <c r="B17" s="29" t="inlineStr">
        <is>
          <t>Igual que en DIRECCION ECONOMIA, conviven «1 BURO»/«BURO», «1 IMPRESORA»/«IMPRESORA» y «1 CREDENZA METALICA»/«CREDENZAS METALICAS» a lo largo del archivo. Cada variante crea una entrada de catálogo distinta para el mismo bien.</t>
        </is>
      </c>
    </row>
    <row r="18" ht="22" customHeight="1">
      <c r="A18" s="22" t="inlineStr">
        <is>
          <t>Columnas SIN dato en el origen — valores de EJEMPLO (encabezado en azul)</t>
        </is>
      </c>
    </row>
    <row r="19" ht="52" customHeight="1">
      <c r="A19" s="30" t="inlineStr">
        <is>
          <t>Advertencia</t>
        </is>
      </c>
      <c r="B19" s="31" t="inlineStr">
        <is>
          <t>MARCA, MODELO, SERIE, FECHA COMPRA y VALOR.CLP. están vacías en las 252 filas del Excel de origen. Los valores de estas 5 columnas fueron GENERADOS para entregar el registro completo: son plausibles, no reales. Reemplazar con el acta de recepción / factura antes de aprobar el lote en el CCP.</t>
        </is>
      </c>
    </row>
    <row r="20" ht="39" customHeight="1">
      <c r="A20" s="28" t="inlineStr">
        <is>
          <t>MARCA / MODELO</t>
        </is>
      </c>
      <c r="B20" s="29" t="inlineStr">
        <is>
          <t>Marcas y modelos de mercado chileno coherentes con cada tipo de bien (Rosen, Mica, Ergosillas, Dimeiggs, HP, Epson, Lenovo, Midea, Recco), con los mismos criterios que en DG, DTP, DC y DE.</t>
        </is>
      </c>
    </row>
    <row r="21" ht="26" customHeight="1">
      <c r="A21" s="28" t="inlineStr">
        <is>
          <t>SERIE</t>
        </is>
      </c>
      <c r="B21" s="29" t="inlineStr">
        <is>
          <t>Patrón determinista SN-&lt;código sin guión&gt;-&lt;4 dígitos&gt;. No corresponde al número de serie físico del equipo.</t>
        </is>
      </c>
    </row>
    <row r="22" ht="26" customHeight="1">
      <c r="A22" s="28" t="inlineStr">
        <is>
          <t>FECHA COMPRA</t>
        </is>
      </c>
      <c r="B22" s="29" t="inlineStr">
        <is>
          <t>Una fecha por bloque/área: OFICINA DIRECTOR LOGISTICA 08-2021 / TRANSPORTE 04-2022 / ALMACEN JABONERIA 06-2022 / ALMACEN PERFUMERIA 11-2022.</t>
        </is>
      </c>
    </row>
    <row r="23" ht="26" customHeight="1">
      <c r="A23" s="28" t="inlineStr">
        <is>
          <t>VALOR.CLP.</t>
        </is>
      </c>
      <c r="B23" s="29" t="inlineStr">
        <is>
          <t>Valor de reposición referencial en pesos chilenos por tipo de bien. No es valor contable ni valor libro: no incorpora depreciación.</t>
        </is>
      </c>
    </row>
    <row r="24" ht="22" customHeight="1">
      <c r="A24" s="22" t="inlineStr">
        <is>
          <t>Compatibilidad con el ETL contable de SICSAFT</t>
        </is>
      </c>
    </row>
    <row r="25" ht="39" customHeight="1">
      <c r="A25" s="28" t="inlineStr">
        <is>
          <t>Hoja y encabezados</t>
        </is>
      </c>
      <c r="B25" s="29" t="inlineStr">
        <is>
          <t>El nombre de hoja «REGISTRO DE ACTIVOS NUEVOS» y los 13 encabezados coinciden con herramientas/etl-contable/mapeo/mapeo-ejemplo.json, así que el archivo se procesa tal cual con etl_contable.py.</t>
        </is>
      </c>
    </row>
    <row r="26" ht="26" customHeight="1">
      <c r="A26" s="28" t="inlineStr">
        <is>
          <t>Fila TOTAL</t>
        </is>
      </c>
      <c r="B26" s="29" t="inlineStr">
        <is>
          <t>La fila de totales va sin CODIGO a propósito: el ETL descarta las filas sin codigoPatrimonial, así que no entra al lote como si fuera un activo.</t>
        </is>
      </c>
    </row>
    <row r="27" ht="26" customHeight="1">
      <c r="A27" s="28" t="inlineStr">
        <is>
          <t>Validación</t>
        </is>
      </c>
      <c r="B27" s="29" t="inlineStr">
        <is>
          <t>CATEGORIA, ESTADO, DIRECCION y AREA tienen lista desplegable contra los catálogos de la hoja oculta «Listas», para que una carga manual no invente valores nuevos.</t>
        </is>
      </c>
    </row>
  </sheetData>
  <mergeCells count="7">
    <mergeCell ref="A24:B24"/>
    <mergeCell ref="A15:B15"/>
    <mergeCell ref="A10:B10"/>
    <mergeCell ref="A5:B5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2026-09-07T20:10:28Z</dcterms:created>
  <dcterms:modified xmlns:dcterms="http://purl.org/dc/terms/" xmlns:xsi="http://www.w3.org/2001/XMLSchema-instance" xsi:type="dcterms:W3CDTF">2026-09-07T20:10:28Z</dcterms:modified>
</cp:coreProperties>
</file>