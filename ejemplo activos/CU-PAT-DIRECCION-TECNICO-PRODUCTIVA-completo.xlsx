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ACTIVOS NUEVOS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Resumen" sheetId="3" state="visible" r:id="rId3"/>
    <sheet xmlns:r="http://schemas.openxmlformats.org/officeDocument/2006/relationships" name="Notas" sheetId="4" state="visible" r:id="rId4"/>
  </sheets>
  <definedNames>
    <definedName name="_xlnm._FilterDatabase" localSheetId="0" hidden="1">'REGISTRO DE ACTIVOS NUEVOS'!$A$4:$M$81</definedName>
    <definedName name="_xlnm.Print_Titles" localSheetId="0">'REGISTRO DE ACTIVOS NUEVOS'!$4:$4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-YYYY"/>
    <numFmt numFmtId="166" formatCode="&quot;$&quot;#,##0"/>
    <numFmt numFmtId="167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CB8CB"/>
      <sz val="10"/>
    </font>
    <font>
      <name val="Arial"/>
      <b val="1"/>
      <color rgb="00FFFFFF"/>
      <sz val="10"/>
    </font>
    <font>
      <name val="Arial"/>
      <color rgb="000B1B33"/>
      <sz val="10"/>
    </font>
    <font>
      <name val="Arial"/>
      <b val="1"/>
      <color rgb="009A5B00"/>
      <sz val="10"/>
    </font>
    <font>
      <name val="Arial"/>
      <b val="1"/>
      <color rgb="009B2226"/>
      <sz val="10"/>
    </font>
    <font>
      <name val="Arial"/>
      <b val="1"/>
      <color rgb="000B1B33"/>
      <sz val="10"/>
    </font>
    <font>
      <name val="Arial"/>
      <b val="1"/>
      <color rgb="00FFFFFF"/>
      <sz val="16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20B1E"/>
      </patternFill>
    </fill>
    <fill>
      <patternFill patternType="solid">
        <fgColor rgb="0005132A"/>
      </patternFill>
    </fill>
    <fill>
      <patternFill patternType="solid">
        <fgColor rgb="00144881"/>
      </patternFill>
    </fill>
    <fill>
      <patternFill patternType="solid">
        <fgColor rgb="00EFF4FC"/>
      </patternFill>
    </fill>
    <fill>
      <patternFill patternType="solid">
        <fgColor rgb="00FFF3D6"/>
      </patternFill>
    </fill>
    <fill>
      <patternFill patternType="solid">
        <fgColor rgb="00FBE3E3"/>
      </patternFill>
    </fill>
    <fill>
      <patternFill patternType="solid">
        <fgColor rgb="00E2ECF9"/>
      </patternFill>
    </fill>
  </fills>
  <borders count="2">
    <border>
      <left/>
      <right/>
      <top/>
      <bottom/>
      <diagonal/>
    </border>
    <border>
      <left style="thin">
        <color rgb="00C9D6EA"/>
      </left>
      <right style="thin">
        <color rgb="00C9D6EA"/>
      </right>
      <top style="thin">
        <color rgb="00C9D6EA"/>
      </top>
      <bottom style="thin">
        <color rgb="00C9D6E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1"/>
    </xf>
    <xf numFmtId="165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left" vertical="center" indent="1"/>
    </xf>
    <xf numFmtId="166" fontId="3" fillId="3" borderId="1" applyAlignment="1" pivotButton="0" quotePrefix="0" xfId="0">
      <alignment horizontal="right" vertical="center"/>
    </xf>
    <xf numFmtId="0" fontId="7" fillId="0" borderId="0" pivotButton="0" quotePrefix="0" xfId="0"/>
    <xf numFmtId="0" fontId="4" fillId="0" borderId="0" pivotButton="0" quotePrefix="0" xfId="0"/>
    <xf numFmtId="0" fontId="8" fillId="2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7" fillId="8" borderId="1" applyAlignment="1" pivotButton="0" quotePrefix="0" xfId="0">
      <alignment horizontal="left" vertical="center" indent="1"/>
    </xf>
    <xf numFmtId="0" fontId="7" fillId="8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top" indent="1"/>
    </xf>
    <xf numFmtId="0" fontId="4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indent="1"/>
    </xf>
    <xf numFmtId="0" fontId="5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SICSAFT</author>
  </authors>
  <commentList>
    <comment ref="H4" authorId="0" shapeId="0">
      <text>
        <t>Columna sin dato en el Excel de origen.
Valor de ejemplo generado: reemplazar por el dato real
del acta de recepcion / factura antes de aprobar el lote.</t>
      </text>
    </comment>
    <comment ref="I4" authorId="0" shapeId="0">
      <text>
        <t>Columna sin dato en el Excel de origen.
Valor de ejemplo generado: reemplazar por el dato real
del acta de recepcion / factura antes de aprobar el lote.</t>
      </text>
    </comment>
    <comment ref="J4" authorId="0" shapeId="0">
      <text>
        <t>Columna sin dato en el Excel de origen.
Valor de ejemplo generado: reemplazar por el dato real
del acta de recepcion / factura antes de aprobar el lote.</t>
      </text>
    </comment>
    <comment ref="K4" authorId="0" shapeId="0">
      <text>
        <t>Columna sin dato en el Excel de origen.
Valor de ejemplo generado: reemplazar por el dato real
del acta de recepcion / factura antes de aprobar el lote.</t>
      </text>
    </comment>
    <comment ref="L4" authorId="0" shapeId="0">
      <text>
        <t>Columna sin dato en el Excel de origen.
Valor de ejemplo generado: reemplazar por el dato real
del acta de recepcion / factura antes de aprobar el lote.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1" customWidth="1" min="3" max="3"/>
    <col width="34" customWidth="1" min="4" max="4"/>
    <col width="34" customWidth="1" min="5" max="5"/>
    <col width="11" customWidth="1" min="6" max="6"/>
    <col width="34" customWidth="1" min="7" max="7"/>
    <col width="15" customWidth="1" min="8" max="8"/>
    <col width="28" customWidth="1" min="9" max="9"/>
    <col width="16" customWidth="1" min="10" max="10"/>
    <col width="14" customWidth="1" min="11" max="11"/>
    <col width="16" customWidth="1" min="12" max="12"/>
    <col width="28" customWidth="1" min="13" max="13"/>
  </cols>
  <sheetData>
    <row r="1" ht="34" customHeight="1">
      <c r="A1" s="1" t="inlineStr">
        <is>
          <t>CU-PAT — Gestión Patrimonial</t>
        </is>
      </c>
    </row>
    <row r="2" ht="20" customHeight="1">
      <c r="A2" s="2" t="inlineStr">
        <is>
          <t>EMPRESA SUCHEL TROPICAL  ·  DIRECCIÓN TECNICO-PRODUCTIVA  ·  77 activos  ·  registro completo</t>
        </is>
      </c>
    </row>
    <row r="3" ht="6" customHeight="1"/>
    <row r="4" ht="30" customHeight="1">
      <c r="A4" s="3" t="inlineStr">
        <is>
          <t>No.</t>
        </is>
      </c>
      <c r="B4" s="3" t="inlineStr">
        <is>
          <t>DIRECCION</t>
        </is>
      </c>
      <c r="C4" s="3" t="inlineStr">
        <is>
          <t>CODIGO</t>
        </is>
      </c>
      <c r="D4" s="3" t="inlineStr">
        <is>
          <t>NOMBRE AFT</t>
        </is>
      </c>
      <c r="E4" s="3" t="inlineStr">
        <is>
          <t>CATEGORIA</t>
        </is>
      </c>
      <c r="F4" s="3" t="inlineStr">
        <is>
          <t>ESTADO</t>
        </is>
      </c>
      <c r="G4" s="3" t="inlineStr">
        <is>
          <t>AREA</t>
        </is>
      </c>
      <c r="H4" s="4" t="inlineStr">
        <is>
          <t>MARCA</t>
        </is>
      </c>
      <c r="I4" s="4" t="inlineStr">
        <is>
          <t>MODELO</t>
        </is>
      </c>
      <c r="J4" s="4" t="inlineStr">
        <is>
          <t>SERIE</t>
        </is>
      </c>
      <c r="K4" s="4" t="inlineStr">
        <is>
          <t>FECHA COMPRA</t>
        </is>
      </c>
      <c r="L4" s="4" t="inlineStr">
        <is>
          <t>VALOR.CLP.</t>
        </is>
      </c>
      <c r="M4" s="3" t="inlineStr">
        <is>
          <t>RESPONSABLE</t>
        </is>
      </c>
    </row>
    <row r="5">
      <c r="A5" s="5" t="n">
        <v>1</v>
      </c>
      <c r="B5" s="6" t="inlineStr">
        <is>
          <t>DIRECCION TECNICO-PRODUCTIVA</t>
        </is>
      </c>
      <c r="C5" s="5" t="inlineStr">
        <is>
          <t>DTP-01</t>
        </is>
      </c>
      <c r="D5" s="6" t="inlineStr">
        <is>
          <t>1 MESA BURO/ 4 GAVETAS</t>
        </is>
      </c>
      <c r="E5" s="6" t="inlineStr">
        <is>
          <t>MOBILIARIO</t>
        </is>
      </c>
      <c r="F5" s="5" t="inlineStr">
        <is>
          <t>SERVICIO</t>
        </is>
      </c>
      <c r="G5" s="6" t="inlineStr">
        <is>
          <t>OFICINA DIRECTOR TECN.// PRODUCT.</t>
        </is>
      </c>
      <c r="H5" s="6" t="inlineStr">
        <is>
          <t>Rosen</t>
        </is>
      </c>
      <c r="I5" s="6" t="inlineStr">
        <is>
          <t>Buro Ejecutivo BR-4G120</t>
        </is>
      </c>
      <c r="J5" s="5" t="inlineStr">
        <is>
          <t>SN-DTP01-2186</t>
        </is>
      </c>
      <c r="K5" s="7" t="n">
        <v>44294</v>
      </c>
      <c r="L5" s="8" t="n">
        <v>189900</v>
      </c>
      <c r="M5" s="6" t="inlineStr">
        <is>
          <t>DIRECTOR TECN. // PRODUCT.</t>
        </is>
      </c>
    </row>
    <row r="6">
      <c r="A6" s="9" t="n">
        <v>2</v>
      </c>
      <c r="B6" s="10" t="inlineStr">
        <is>
          <t>DIRECCION TECNICO-PRODUCTIVA</t>
        </is>
      </c>
      <c r="C6" s="9" t="inlineStr">
        <is>
          <t>DTP-02</t>
        </is>
      </c>
      <c r="D6" s="10" t="inlineStr">
        <is>
          <t>1 SILLA GIRATORIA</t>
        </is>
      </c>
      <c r="E6" s="10" t="inlineStr">
        <is>
          <t>MOBILIARIO</t>
        </is>
      </c>
      <c r="F6" s="9" t="inlineStr">
        <is>
          <t>SERVICIO</t>
        </is>
      </c>
      <c r="G6" s="10" t="inlineStr">
        <is>
          <t>OFICINA DIRECTOR TECN.// PRODUCT.</t>
        </is>
      </c>
      <c r="H6" s="10" t="inlineStr">
        <is>
          <t>Ergosillas</t>
        </is>
      </c>
      <c r="I6" s="10" t="inlineStr">
        <is>
          <t>Pro Ergo 120</t>
        </is>
      </c>
      <c r="J6" s="9" t="inlineStr">
        <is>
          <t>SN-DTP02-2323</t>
        </is>
      </c>
      <c r="K6" s="11" t="n">
        <v>44299</v>
      </c>
      <c r="L6" s="12" t="n">
        <v>109900</v>
      </c>
      <c r="M6" s="10" t="inlineStr">
        <is>
          <t>DIRECTOR TECN. // PRODUCT.</t>
        </is>
      </c>
    </row>
    <row r="7">
      <c r="A7" s="5" t="n">
        <v>3</v>
      </c>
      <c r="B7" s="6" t="inlineStr">
        <is>
          <t>DIRECCION TECNICO-PRODUCTIVA</t>
        </is>
      </c>
      <c r="C7" s="5" t="inlineStr">
        <is>
          <t>DTP-03</t>
        </is>
      </c>
      <c r="D7" s="6" t="inlineStr">
        <is>
          <t>1 PC ESCRITORIO</t>
        </is>
      </c>
      <c r="E7" s="6" t="inlineStr">
        <is>
          <t>INFORMATICA</t>
        </is>
      </c>
      <c r="F7" s="5" t="inlineStr">
        <is>
          <t>SERVICIO</t>
        </is>
      </c>
      <c r="G7" s="6" t="inlineStr">
        <is>
          <t>OFICINA DIRECTOR TECN.// PRODUCT.</t>
        </is>
      </c>
      <c r="H7" s="6" t="inlineStr">
        <is>
          <t>HP</t>
        </is>
      </c>
      <c r="I7" s="6" t="inlineStr">
        <is>
          <t>ProDesk 400 G9 SFF</t>
        </is>
      </c>
      <c r="J7" s="5" t="inlineStr">
        <is>
          <t>SN-DTP03-2460</t>
        </is>
      </c>
      <c r="K7" s="7" t="n">
        <v>44304</v>
      </c>
      <c r="L7" s="8" t="n">
        <v>549900</v>
      </c>
      <c r="M7" s="6" t="inlineStr">
        <is>
          <t>DIRECTOR TECN. // PRODUCT.</t>
        </is>
      </c>
    </row>
    <row r="8">
      <c r="A8" s="9" t="n">
        <v>4</v>
      </c>
      <c r="B8" s="10" t="inlineStr">
        <is>
          <t>DIRECCION TECNICO-PRODUCTIVA</t>
        </is>
      </c>
      <c r="C8" s="9" t="inlineStr">
        <is>
          <t>DTP-04</t>
        </is>
      </c>
      <c r="D8" s="10" t="inlineStr">
        <is>
          <t>1 IMPRESORA</t>
        </is>
      </c>
      <c r="E8" s="10" t="inlineStr">
        <is>
          <t>INFORMATICA</t>
        </is>
      </c>
      <c r="F8" s="9" t="inlineStr">
        <is>
          <t>SERVICIO</t>
        </is>
      </c>
      <c r="G8" s="10" t="inlineStr">
        <is>
          <t>OFICINA DIRECTOR TECN.// PRODUCT.</t>
        </is>
      </c>
      <c r="H8" s="10" t="inlineStr">
        <is>
          <t>Epson</t>
        </is>
      </c>
      <c r="I8" s="10" t="inlineStr">
        <is>
          <t>EcoTank L3250</t>
        </is>
      </c>
      <c r="J8" s="9" t="inlineStr">
        <is>
          <t>SN-DTP04-2597</t>
        </is>
      </c>
      <c r="K8" s="11" t="n">
        <v>44294</v>
      </c>
      <c r="L8" s="12" t="n">
        <v>179900</v>
      </c>
      <c r="M8" s="10" t="inlineStr">
        <is>
          <t>DIRECTOR TECN. // PRODUCT.</t>
        </is>
      </c>
    </row>
    <row r="9">
      <c r="A9" s="5" t="n">
        <v>5</v>
      </c>
      <c r="B9" s="6" t="inlineStr">
        <is>
          <t>DIRECCION TECNICO-PRODUCTIVA</t>
        </is>
      </c>
      <c r="C9" s="5" t="inlineStr">
        <is>
          <t>DTP-05</t>
        </is>
      </c>
      <c r="D9" s="6" t="inlineStr">
        <is>
          <t>1 EQUIPO CLIMATIZACION 12000 BTU</t>
        </is>
      </c>
      <c r="E9" s="6" t="inlineStr">
        <is>
          <t>EQUIPOS DE CLIMATIZACION Y REFRIGERACION</t>
        </is>
      </c>
      <c r="F9" s="5" t="inlineStr">
        <is>
          <t>SERVICIO</t>
        </is>
      </c>
      <c r="G9" s="6" t="inlineStr">
        <is>
          <t>OFICINA DIRECTOR TECN.// PRODUCT.</t>
        </is>
      </c>
      <c r="H9" s="6" t="inlineStr">
        <is>
          <t>Midea</t>
        </is>
      </c>
      <c r="I9" s="6" t="inlineStr">
        <is>
          <t>Xtreme Save 12.000 BTU</t>
        </is>
      </c>
      <c r="J9" s="5" t="inlineStr">
        <is>
          <t>SN-DTP05-2734</t>
        </is>
      </c>
      <c r="K9" s="7" t="n">
        <v>44299</v>
      </c>
      <c r="L9" s="8" t="n">
        <v>389900</v>
      </c>
      <c r="M9" s="6" t="inlineStr">
        <is>
          <t>DIRECTOR TECN. // PRODUCT.</t>
        </is>
      </c>
    </row>
    <row r="10">
      <c r="A10" s="9" t="n">
        <v>6</v>
      </c>
      <c r="B10" s="10" t="inlineStr">
        <is>
          <t>DIRECCION TECNICO-PRODUCTIVA</t>
        </is>
      </c>
      <c r="C10" s="9" t="inlineStr">
        <is>
          <t>DTP-06</t>
        </is>
      </c>
      <c r="D10" s="10" t="inlineStr">
        <is>
          <t>1 SOFA 3 PERSONAS</t>
        </is>
      </c>
      <c r="E10" s="10" t="inlineStr">
        <is>
          <t>MOBILIARIO</t>
        </is>
      </c>
      <c r="F10" s="9" t="inlineStr">
        <is>
          <t>SERVICIO</t>
        </is>
      </c>
      <c r="G10" s="10" t="inlineStr">
        <is>
          <t>OFICINA DIRECTOR TECN.// PRODUCT.</t>
        </is>
      </c>
      <c r="H10" s="10" t="inlineStr">
        <is>
          <t>Rosen</t>
        </is>
      </c>
      <c r="I10" s="10" t="inlineStr">
        <is>
          <t>Milano 3 Cuerpos</t>
        </is>
      </c>
      <c r="J10" s="9" t="inlineStr">
        <is>
          <t>SN-DTP06-2871</t>
        </is>
      </c>
      <c r="K10" s="11" t="n">
        <v>44304</v>
      </c>
      <c r="L10" s="12" t="n">
        <v>429900</v>
      </c>
      <c r="M10" s="10" t="inlineStr">
        <is>
          <t>DIRECTOR TECN. // PRODUCT.</t>
        </is>
      </c>
    </row>
    <row r="11">
      <c r="A11" s="5" t="n">
        <v>7</v>
      </c>
      <c r="B11" s="6" t="inlineStr">
        <is>
          <t>DIRECCION TECNICO-PRODUCTIVA</t>
        </is>
      </c>
      <c r="C11" s="5" t="inlineStr">
        <is>
          <t>DTP-07</t>
        </is>
      </c>
      <c r="D11" s="6" t="inlineStr">
        <is>
          <t>BUTACA CON BRAZOS</t>
        </is>
      </c>
      <c r="E11" s="6" t="inlineStr">
        <is>
          <t>MOBILIARIO</t>
        </is>
      </c>
      <c r="F11" s="5" t="inlineStr">
        <is>
          <t>SERVICIO</t>
        </is>
      </c>
      <c r="G11" s="6" t="inlineStr">
        <is>
          <t>OFICINA DIRECTOR TECN.// PRODUCT.</t>
        </is>
      </c>
      <c r="H11" s="6" t="inlineStr">
        <is>
          <t>Mica</t>
        </is>
      </c>
      <c r="I11" s="6" t="inlineStr">
        <is>
          <t>Oslo con Brazos</t>
        </is>
      </c>
      <c r="J11" s="5" t="inlineStr">
        <is>
          <t>SN-DTP07-3008</t>
        </is>
      </c>
      <c r="K11" s="7" t="n">
        <v>44294</v>
      </c>
      <c r="L11" s="8" t="n">
        <v>94990</v>
      </c>
      <c r="M11" s="6" t="inlineStr">
        <is>
          <t>DIRECTOR TECN. // PRODUCT.</t>
        </is>
      </c>
    </row>
    <row r="12">
      <c r="A12" s="9" t="n">
        <v>8</v>
      </c>
      <c r="B12" s="10" t="inlineStr">
        <is>
          <t>DIRECCION TECNICO-PRODUCTIVA</t>
        </is>
      </c>
      <c r="C12" s="9" t="inlineStr">
        <is>
          <t>DTP-08</t>
        </is>
      </c>
      <c r="D12" s="10" t="inlineStr">
        <is>
          <t>BUTACA CON BRAZOS</t>
        </is>
      </c>
      <c r="E12" s="10" t="inlineStr">
        <is>
          <t>MOBILIARIO</t>
        </is>
      </c>
      <c r="F12" s="9" t="inlineStr">
        <is>
          <t>SERVICIO</t>
        </is>
      </c>
      <c r="G12" s="10" t="inlineStr">
        <is>
          <t>OFICINA DIRECTOR TECN.// PRODUCT.</t>
        </is>
      </c>
      <c r="H12" s="10" t="inlineStr">
        <is>
          <t>Mica</t>
        </is>
      </c>
      <c r="I12" s="10" t="inlineStr">
        <is>
          <t>Oslo con Brazos</t>
        </is>
      </c>
      <c r="J12" s="9" t="inlineStr">
        <is>
          <t>SN-DTP08-3145</t>
        </is>
      </c>
      <c r="K12" s="11" t="n">
        <v>44299</v>
      </c>
      <c r="L12" s="12" t="n">
        <v>94990</v>
      </c>
      <c r="M12" s="10" t="inlineStr">
        <is>
          <t>DIRECTOR TECN. // PRODUCT.</t>
        </is>
      </c>
    </row>
    <row r="13">
      <c r="A13" s="5" t="n">
        <v>9</v>
      </c>
      <c r="B13" s="6" t="inlineStr">
        <is>
          <t>DIRECCION TECNICO-PRODUCTIVA</t>
        </is>
      </c>
      <c r="C13" s="5" t="inlineStr">
        <is>
          <t>DTP-09</t>
        </is>
      </c>
      <c r="D13" s="6" t="inlineStr">
        <is>
          <t>BUTACA CON BRAZOS</t>
        </is>
      </c>
      <c r="E13" s="6" t="inlineStr">
        <is>
          <t>MOBILIARIO</t>
        </is>
      </c>
      <c r="F13" s="5" t="inlineStr">
        <is>
          <t>SERVICIO</t>
        </is>
      </c>
      <c r="G13" s="6" t="inlineStr">
        <is>
          <t>OFICINA DIRECTOR TECN.// PRODUCT.</t>
        </is>
      </c>
      <c r="H13" s="6" t="inlineStr">
        <is>
          <t>Mica</t>
        </is>
      </c>
      <c r="I13" s="6" t="inlineStr">
        <is>
          <t>Oslo con Brazos</t>
        </is>
      </c>
      <c r="J13" s="5" t="inlineStr">
        <is>
          <t>SN-DTP09-3282</t>
        </is>
      </c>
      <c r="K13" s="7" t="n">
        <v>44304</v>
      </c>
      <c r="L13" s="8" t="n">
        <v>94990</v>
      </c>
      <c r="M13" s="6" t="inlineStr">
        <is>
          <t>DIRECTOR TECN. // PRODUCT.</t>
        </is>
      </c>
    </row>
    <row r="14">
      <c r="A14" s="9" t="n">
        <v>10</v>
      </c>
      <c r="B14" s="10" t="inlineStr">
        <is>
          <t>DIRECCION TECNICO-PRODUCTIVA</t>
        </is>
      </c>
      <c r="C14" s="9" t="inlineStr">
        <is>
          <t>DTP-10</t>
        </is>
      </c>
      <c r="D14" s="10" t="inlineStr">
        <is>
          <t>1 TV DIGITAL LG 45"</t>
        </is>
      </c>
      <c r="E14" s="10" t="inlineStr">
        <is>
          <t>MOBILIARIO</t>
        </is>
      </c>
      <c r="F14" s="9" t="inlineStr">
        <is>
          <t>SERVICIO</t>
        </is>
      </c>
      <c r="G14" s="10" t="inlineStr">
        <is>
          <t>OFICINA DIRECTOR TECN.// PRODUCT.</t>
        </is>
      </c>
      <c r="H14" s="10" t="inlineStr">
        <is>
          <t>LG</t>
        </is>
      </c>
      <c r="I14" s="10" t="inlineStr">
        <is>
          <t>45UR7300 UHD</t>
        </is>
      </c>
      <c r="J14" s="9" t="inlineStr">
        <is>
          <t>SN-DTP10-3419</t>
        </is>
      </c>
      <c r="K14" s="11" t="n">
        <v>44294</v>
      </c>
      <c r="L14" s="12" t="n">
        <v>329900</v>
      </c>
      <c r="M14" s="10" t="inlineStr">
        <is>
          <t>DIRECTOR TECN. // PRODUCT.</t>
        </is>
      </c>
    </row>
    <row r="15">
      <c r="A15" s="5" t="n">
        <v>11</v>
      </c>
      <c r="B15" s="6" t="inlineStr">
        <is>
          <t>DIRECCION TECNICO-PRODUCTIVA</t>
        </is>
      </c>
      <c r="C15" s="5" t="inlineStr">
        <is>
          <t>DTP-11</t>
        </is>
      </c>
      <c r="D15" s="6" t="inlineStr">
        <is>
          <t>1 LAPTOP</t>
        </is>
      </c>
      <c r="E15" s="6" t="inlineStr">
        <is>
          <t>INFORMATICA</t>
        </is>
      </c>
      <c r="F15" s="5" t="inlineStr">
        <is>
          <t>SERVICIO</t>
        </is>
      </c>
      <c r="G15" s="6" t="inlineStr">
        <is>
          <t>OFICINA DIRECTOR TECN.// PRODUCT.</t>
        </is>
      </c>
      <c r="H15" s="6" t="inlineStr">
        <is>
          <t>Lenovo</t>
        </is>
      </c>
      <c r="I15" s="6" t="inlineStr">
        <is>
          <t>ThinkPad E14 Gen 5</t>
        </is>
      </c>
      <c r="J15" s="5" t="inlineStr">
        <is>
          <t>SN-DTP11-3556</t>
        </is>
      </c>
      <c r="K15" s="7" t="n">
        <v>44299</v>
      </c>
      <c r="L15" s="8" t="n">
        <v>749900</v>
      </c>
      <c r="M15" s="6" t="inlineStr">
        <is>
          <t>DIRECTOR TECN. // PRODUCT.</t>
        </is>
      </c>
    </row>
    <row r="16">
      <c r="A16" s="9" t="n">
        <v>12</v>
      </c>
      <c r="B16" s="10" t="inlineStr">
        <is>
          <t>DIRECCION TECNICO-PRODUCTIVA</t>
        </is>
      </c>
      <c r="C16" s="9" t="inlineStr">
        <is>
          <t>DTP-12</t>
        </is>
      </c>
      <c r="D16" s="10" t="inlineStr">
        <is>
          <t>MESA BURO/ 4 GAVETAS</t>
        </is>
      </c>
      <c r="E16" s="10" t="inlineStr">
        <is>
          <t>MOBILIARIO</t>
        </is>
      </c>
      <c r="F16" s="9" t="inlineStr">
        <is>
          <t>SERVICIO</t>
        </is>
      </c>
      <c r="G16" s="10" t="inlineStr">
        <is>
          <t>DEPARTAMENTO TECNICO</t>
        </is>
      </c>
      <c r="H16" s="10" t="inlineStr">
        <is>
          <t>Rosen</t>
        </is>
      </c>
      <c r="I16" s="10" t="inlineStr">
        <is>
          <t>Buro Ejecutivo BR-4G120</t>
        </is>
      </c>
      <c r="J16" s="9" t="inlineStr">
        <is>
          <t>SN-DTP12-3693</t>
        </is>
      </c>
      <c r="K16" s="11" t="n">
        <v>44463</v>
      </c>
      <c r="L16" s="12" t="n">
        <v>189900</v>
      </c>
      <c r="M16" s="10" t="inlineStr">
        <is>
          <t>JEFE DPTO. TECNICO</t>
        </is>
      </c>
    </row>
    <row r="17">
      <c r="A17" s="5" t="n">
        <v>13</v>
      </c>
      <c r="B17" s="6" t="inlineStr">
        <is>
          <t>DIRECCION TECNICO-PRODUCTIVA</t>
        </is>
      </c>
      <c r="C17" s="5" t="inlineStr">
        <is>
          <t>DTP-13</t>
        </is>
      </c>
      <c r="D17" s="6" t="inlineStr">
        <is>
          <t>MESA BURO/ 4 GAVETAS</t>
        </is>
      </c>
      <c r="E17" s="6" t="inlineStr">
        <is>
          <t>MOBILIARIO</t>
        </is>
      </c>
      <c r="F17" s="5" t="inlineStr">
        <is>
          <t>SERVICIO</t>
        </is>
      </c>
      <c r="G17" s="6" t="inlineStr">
        <is>
          <t>DEPARTAMENTO TECNICO</t>
        </is>
      </c>
      <c r="H17" s="6" t="inlineStr">
        <is>
          <t>Rosen</t>
        </is>
      </c>
      <c r="I17" s="6" t="inlineStr">
        <is>
          <t>Buro Ejecutivo BR-4G120</t>
        </is>
      </c>
      <c r="J17" s="5" t="inlineStr">
        <is>
          <t>SN-DTP13-3830</t>
        </is>
      </c>
      <c r="K17" s="7" t="n">
        <v>44453</v>
      </c>
      <c r="L17" s="8" t="n">
        <v>189900</v>
      </c>
      <c r="M17" s="6" t="inlineStr">
        <is>
          <t>JEFE DPTO. TECNICO</t>
        </is>
      </c>
    </row>
    <row r="18">
      <c r="A18" s="9" t="n">
        <v>14</v>
      </c>
      <c r="B18" s="10" t="inlineStr">
        <is>
          <t>DIRECCION TECNICO-PRODUCTIVA</t>
        </is>
      </c>
      <c r="C18" s="9" t="inlineStr">
        <is>
          <t>DTP-14</t>
        </is>
      </c>
      <c r="D18" s="10" t="inlineStr">
        <is>
          <t>SILLA GIRATORIA</t>
        </is>
      </c>
      <c r="E18" s="10" t="inlineStr">
        <is>
          <t>MOBILIARIO</t>
        </is>
      </c>
      <c r="F18" s="9" t="inlineStr">
        <is>
          <t>SERVICIO</t>
        </is>
      </c>
      <c r="G18" s="10" t="inlineStr">
        <is>
          <t>DEPARTAMENTO TECNICO</t>
        </is>
      </c>
      <c r="H18" s="10" t="inlineStr">
        <is>
          <t>Ergosillas</t>
        </is>
      </c>
      <c r="I18" s="10" t="inlineStr">
        <is>
          <t>Pro Ergo 120</t>
        </is>
      </c>
      <c r="J18" s="9" t="inlineStr">
        <is>
          <t>SN-DTP14-3967</t>
        </is>
      </c>
      <c r="K18" s="11" t="n">
        <v>44458</v>
      </c>
      <c r="L18" s="12" t="n">
        <v>109900</v>
      </c>
      <c r="M18" s="10" t="inlineStr">
        <is>
          <t>JEFE DPTO. TECNICO</t>
        </is>
      </c>
    </row>
    <row r="19">
      <c r="A19" s="5" t="n">
        <v>15</v>
      </c>
      <c r="B19" s="6" t="inlineStr">
        <is>
          <t>DIRECCION TECNICO-PRODUCTIVA</t>
        </is>
      </c>
      <c r="C19" s="5" t="inlineStr">
        <is>
          <t>DTP-15</t>
        </is>
      </c>
      <c r="D19" s="6" t="inlineStr">
        <is>
          <t>SILLA GIRATORIA</t>
        </is>
      </c>
      <c r="E19" s="6" t="inlineStr">
        <is>
          <t>MOBILIARIO</t>
        </is>
      </c>
      <c r="F19" s="5" t="inlineStr">
        <is>
          <t>SERVICIO</t>
        </is>
      </c>
      <c r="G19" s="6" t="inlineStr">
        <is>
          <t>DEPARTAMENTO TECNICO</t>
        </is>
      </c>
      <c r="H19" s="6" t="inlineStr">
        <is>
          <t>Ergosillas</t>
        </is>
      </c>
      <c r="I19" s="6" t="inlineStr">
        <is>
          <t>Pro Ergo 120</t>
        </is>
      </c>
      <c r="J19" s="5" t="inlineStr">
        <is>
          <t>SN-DTP15-4104</t>
        </is>
      </c>
      <c r="K19" s="7" t="n">
        <v>44463</v>
      </c>
      <c r="L19" s="8" t="n">
        <v>109900</v>
      </c>
      <c r="M19" s="6" t="inlineStr">
        <is>
          <t>JEFE DPTO. TECNICO</t>
        </is>
      </c>
    </row>
    <row r="20">
      <c r="A20" s="9" t="n">
        <v>16</v>
      </c>
      <c r="B20" s="10" t="inlineStr">
        <is>
          <t>DIRECCION TECNICO-PRODUCTIVA</t>
        </is>
      </c>
      <c r="C20" s="9" t="inlineStr">
        <is>
          <t>DTP-16</t>
        </is>
      </c>
      <c r="D20" s="10" t="inlineStr">
        <is>
          <t>VENTILADOR</t>
        </is>
      </c>
      <c r="E20" s="10" t="inlineStr">
        <is>
          <t>EQUIPOS DE CLIMATIZACION Y REFRIGERACION</t>
        </is>
      </c>
      <c r="F20" s="9" t="inlineStr">
        <is>
          <t>SERVICIO</t>
        </is>
      </c>
      <c r="G20" s="10" t="inlineStr">
        <is>
          <t>DEPARTAMENTO TECNICO</t>
        </is>
      </c>
      <c r="H20" s="10" t="inlineStr">
        <is>
          <t>Recco</t>
        </is>
      </c>
      <c r="I20" s="10" t="inlineStr">
        <is>
          <t>RVP-45PM Pedestal</t>
        </is>
      </c>
      <c r="J20" s="9" t="inlineStr">
        <is>
          <t>SN-DTP16-4241</t>
        </is>
      </c>
      <c r="K20" s="11" t="n">
        <v>44453</v>
      </c>
      <c r="L20" s="12" t="n">
        <v>39990</v>
      </c>
      <c r="M20" s="10" t="inlineStr">
        <is>
          <t>JEFE DPTO. TECNICO</t>
        </is>
      </c>
    </row>
    <row r="21">
      <c r="A21" s="5" t="n">
        <v>17</v>
      </c>
      <c r="B21" s="6" t="inlineStr">
        <is>
          <t>DIRECCION TECNICO-PRODUCTIVA</t>
        </is>
      </c>
      <c r="C21" s="5" t="inlineStr">
        <is>
          <t>DTP-17</t>
        </is>
      </c>
      <c r="D21" s="6" t="inlineStr">
        <is>
          <t>VENTILADOR</t>
        </is>
      </c>
      <c r="E21" s="6" t="inlineStr">
        <is>
          <t>EQUIPOS DE CLIMATIZACION Y REFRIGERACION</t>
        </is>
      </c>
      <c r="F21" s="13" t="inlineStr">
        <is>
          <t>MTTO</t>
        </is>
      </c>
      <c r="G21" s="6" t="inlineStr">
        <is>
          <t>DEPARTAMENTO TECNICO</t>
        </is>
      </c>
      <c r="H21" s="6" t="inlineStr">
        <is>
          <t>Recco</t>
        </is>
      </c>
      <c r="I21" s="6" t="inlineStr">
        <is>
          <t>RVP-45PM Pedestal</t>
        </is>
      </c>
      <c r="J21" s="5" t="inlineStr">
        <is>
          <t>SN-DTP17-4378</t>
        </is>
      </c>
      <c r="K21" s="7" t="n">
        <v>44458</v>
      </c>
      <c r="L21" s="8" t="n">
        <v>39990</v>
      </c>
      <c r="M21" s="6" t="inlineStr">
        <is>
          <t>JEFE DPTO. TECNICO</t>
        </is>
      </c>
    </row>
    <row r="22">
      <c r="A22" s="9" t="n">
        <v>18</v>
      </c>
      <c r="B22" s="10" t="inlineStr">
        <is>
          <t>DIRECCION TECNICO-PRODUCTIVA</t>
        </is>
      </c>
      <c r="C22" s="9" t="inlineStr">
        <is>
          <t>DTP-18</t>
        </is>
      </c>
      <c r="D22" s="10" t="inlineStr">
        <is>
          <t>PC ESCRITORIO</t>
        </is>
      </c>
      <c r="E22" s="10" t="inlineStr">
        <is>
          <t>INFORMATICA</t>
        </is>
      </c>
      <c r="F22" s="9" t="inlineStr">
        <is>
          <t>SERVICIO</t>
        </is>
      </c>
      <c r="G22" s="10" t="inlineStr">
        <is>
          <t>DEPARTAMENTO TECNICO</t>
        </is>
      </c>
      <c r="H22" s="10" t="inlineStr">
        <is>
          <t>HP</t>
        </is>
      </c>
      <c r="I22" s="10" t="inlineStr">
        <is>
          <t>ProDesk 400 G9 SFF</t>
        </is>
      </c>
      <c r="J22" s="9" t="inlineStr">
        <is>
          <t>SN-DTP18-4515</t>
        </is>
      </c>
      <c r="K22" s="11" t="n">
        <v>44463</v>
      </c>
      <c r="L22" s="12" t="n">
        <v>549900</v>
      </c>
      <c r="M22" s="10" t="inlineStr">
        <is>
          <t>JEFE DPTO. TECNICO</t>
        </is>
      </c>
    </row>
    <row r="23">
      <c r="A23" s="5" t="n">
        <v>19</v>
      </c>
      <c r="B23" s="6" t="inlineStr">
        <is>
          <t>DIRECCION TECNICO-PRODUCTIVA</t>
        </is>
      </c>
      <c r="C23" s="5" t="inlineStr">
        <is>
          <t>DTP-19</t>
        </is>
      </c>
      <c r="D23" s="6" t="inlineStr">
        <is>
          <t>PC ESCRITORIO</t>
        </is>
      </c>
      <c r="E23" s="6" t="inlineStr">
        <is>
          <t>INFORMATICA</t>
        </is>
      </c>
      <c r="F23" s="5" t="inlineStr">
        <is>
          <t>SERVICIO</t>
        </is>
      </c>
      <c r="G23" s="6" t="inlineStr">
        <is>
          <t>DEPARTAMENTO TECNICO</t>
        </is>
      </c>
      <c r="H23" s="6" t="inlineStr">
        <is>
          <t>HP</t>
        </is>
      </c>
      <c r="I23" s="6" t="inlineStr">
        <is>
          <t>ProDesk 400 G9 SFF</t>
        </is>
      </c>
      <c r="J23" s="5" t="inlineStr">
        <is>
          <t>SN-DTP19-4652</t>
        </is>
      </c>
      <c r="K23" s="7" t="n">
        <v>44453</v>
      </c>
      <c r="L23" s="8" t="n">
        <v>549900</v>
      </c>
      <c r="M23" s="6" t="inlineStr">
        <is>
          <t>JEFE DPTO. TECNICO</t>
        </is>
      </c>
    </row>
    <row r="24">
      <c r="A24" s="9" t="n">
        <v>20</v>
      </c>
      <c r="B24" s="10" t="inlineStr">
        <is>
          <t>DIRECCION TECNICO-PRODUCTIVA</t>
        </is>
      </c>
      <c r="C24" s="9" t="inlineStr">
        <is>
          <t>DTP-20</t>
        </is>
      </c>
      <c r="D24" s="10" t="inlineStr">
        <is>
          <t>1 IMPRESORA</t>
        </is>
      </c>
      <c r="E24" s="10" t="inlineStr">
        <is>
          <t>INFORMATICA</t>
        </is>
      </c>
      <c r="F24" s="13" t="inlineStr">
        <is>
          <t>MTTO</t>
        </is>
      </c>
      <c r="G24" s="10" t="inlineStr">
        <is>
          <t>DEPARTAMENTO TECNICO</t>
        </is>
      </c>
      <c r="H24" s="10" t="inlineStr">
        <is>
          <t>Epson</t>
        </is>
      </c>
      <c r="I24" s="10" t="inlineStr">
        <is>
          <t>EcoTank L3250</t>
        </is>
      </c>
      <c r="J24" s="9" t="inlineStr">
        <is>
          <t>SN-DTP20-4789</t>
        </is>
      </c>
      <c r="K24" s="11" t="n">
        <v>44458</v>
      </c>
      <c r="L24" s="12" t="n">
        <v>179900</v>
      </c>
      <c r="M24" s="10" t="inlineStr">
        <is>
          <t>JEFE DPTO. TECNICO</t>
        </is>
      </c>
    </row>
    <row r="25">
      <c r="A25" s="5" t="n">
        <v>21</v>
      </c>
      <c r="B25" s="6" t="inlineStr">
        <is>
          <t>DIRECCION TECNICO-PRODUCTIVA</t>
        </is>
      </c>
      <c r="C25" s="5" t="inlineStr">
        <is>
          <t>DTP-21</t>
        </is>
      </c>
      <c r="D25" s="6" t="inlineStr">
        <is>
          <t>MESA BURO/ 4 GAVETAS</t>
        </is>
      </c>
      <c r="E25" s="6" t="inlineStr">
        <is>
          <t>MOBILIARIO</t>
        </is>
      </c>
      <c r="F25" s="5" t="inlineStr">
        <is>
          <t>SERVICIO</t>
        </is>
      </c>
      <c r="G25" s="6" t="inlineStr">
        <is>
          <t>DEPARTAMENTO PRODUCC.</t>
        </is>
      </c>
      <c r="H25" s="6" t="inlineStr">
        <is>
          <t>Rosen</t>
        </is>
      </c>
      <c r="I25" s="6" t="inlineStr">
        <is>
          <t>Buro Ejecutivo BR-4G120</t>
        </is>
      </c>
      <c r="J25" s="5" t="inlineStr">
        <is>
          <t>SN-DTP21-4926</t>
        </is>
      </c>
      <c r="K25" s="7" t="n">
        <v>44513</v>
      </c>
      <c r="L25" s="8" t="n">
        <v>189900</v>
      </c>
      <c r="M25" s="6" t="inlineStr">
        <is>
          <t>JEFE DPTO. PRODUCC.</t>
        </is>
      </c>
    </row>
    <row r="26">
      <c r="A26" s="9" t="n">
        <v>22</v>
      </c>
      <c r="B26" s="10" t="inlineStr">
        <is>
          <t>DIRECCION TECNICO-PRODUCTIVA</t>
        </is>
      </c>
      <c r="C26" s="9" t="inlineStr">
        <is>
          <t>DTP-22</t>
        </is>
      </c>
      <c r="D26" s="10" t="inlineStr">
        <is>
          <t>MESA BURO/ 4 GAVETAS</t>
        </is>
      </c>
      <c r="E26" s="10" t="inlineStr">
        <is>
          <t>MOBILIARIO</t>
        </is>
      </c>
      <c r="F26" s="9" t="inlineStr">
        <is>
          <t>SERVICIO</t>
        </is>
      </c>
      <c r="G26" s="10" t="inlineStr">
        <is>
          <t>DEPARTAMENTO PRODUCC.</t>
        </is>
      </c>
      <c r="H26" s="10" t="inlineStr">
        <is>
          <t>Rosen</t>
        </is>
      </c>
      <c r="I26" s="10" t="inlineStr">
        <is>
          <t>Buro Ejecutivo BR-4G120</t>
        </is>
      </c>
      <c r="J26" s="9" t="inlineStr">
        <is>
          <t>SN-DTP22-5063</t>
        </is>
      </c>
      <c r="K26" s="11" t="n">
        <v>44503</v>
      </c>
      <c r="L26" s="12" t="n">
        <v>189900</v>
      </c>
      <c r="M26" s="10" t="inlineStr">
        <is>
          <t>JEFE DPTO. PRODUCC.</t>
        </is>
      </c>
    </row>
    <row r="27">
      <c r="A27" s="5" t="n">
        <v>23</v>
      </c>
      <c r="B27" s="6" t="inlineStr">
        <is>
          <t>DIRECCION TECNICO-PRODUCTIVA</t>
        </is>
      </c>
      <c r="C27" s="5" t="inlineStr">
        <is>
          <t>DTP-23</t>
        </is>
      </c>
      <c r="D27" s="6" t="inlineStr">
        <is>
          <t>SILLA GIRATORIA</t>
        </is>
      </c>
      <c r="E27" s="6" t="inlineStr">
        <is>
          <t>MOBILIARIO</t>
        </is>
      </c>
      <c r="F27" s="5" t="inlineStr">
        <is>
          <t>SERVICIO</t>
        </is>
      </c>
      <c r="G27" s="6" t="inlineStr">
        <is>
          <t>DEPARTAMENTO PRODUCC.</t>
        </is>
      </c>
      <c r="H27" s="6" t="inlineStr">
        <is>
          <t>Ergosillas</t>
        </is>
      </c>
      <c r="I27" s="6" t="inlineStr">
        <is>
          <t>Pro Ergo 120</t>
        </is>
      </c>
      <c r="J27" s="5" t="inlineStr">
        <is>
          <t>SN-DTP23-5200</t>
        </is>
      </c>
      <c r="K27" s="7" t="n">
        <v>44508</v>
      </c>
      <c r="L27" s="8" t="n">
        <v>109900</v>
      </c>
      <c r="M27" s="6" t="inlineStr">
        <is>
          <t>JEFE DPTO. PRODUCC.</t>
        </is>
      </c>
    </row>
    <row r="28">
      <c r="A28" s="9" t="n">
        <v>24</v>
      </c>
      <c r="B28" s="10" t="inlineStr">
        <is>
          <t>DIRECCION TECNICO-PRODUCTIVA</t>
        </is>
      </c>
      <c r="C28" s="9" t="inlineStr">
        <is>
          <t>DTP-24</t>
        </is>
      </c>
      <c r="D28" s="10" t="inlineStr">
        <is>
          <t>SILLA GIRATORIA</t>
        </is>
      </c>
      <c r="E28" s="10" t="inlineStr">
        <is>
          <t>MOBILIARIO</t>
        </is>
      </c>
      <c r="F28" s="9" t="inlineStr">
        <is>
          <t>SERVICIO</t>
        </is>
      </c>
      <c r="G28" s="10" t="inlineStr">
        <is>
          <t>DEPARTAMENTO PRODUCC.</t>
        </is>
      </c>
      <c r="H28" s="10" t="inlineStr">
        <is>
          <t>Ergosillas</t>
        </is>
      </c>
      <c r="I28" s="10" t="inlineStr">
        <is>
          <t>Pro Ergo 120</t>
        </is>
      </c>
      <c r="J28" s="9" t="inlineStr">
        <is>
          <t>SN-DTP24-5337</t>
        </is>
      </c>
      <c r="K28" s="11" t="n">
        <v>44513</v>
      </c>
      <c r="L28" s="12" t="n">
        <v>109900</v>
      </c>
      <c r="M28" s="10" t="inlineStr">
        <is>
          <t>JEFE DPTO. PRODUCC.</t>
        </is>
      </c>
    </row>
    <row r="29">
      <c r="A29" s="5" t="n">
        <v>25</v>
      </c>
      <c r="B29" s="6" t="inlineStr">
        <is>
          <t>DIRECCION TECNICO-PRODUCTIVA</t>
        </is>
      </c>
      <c r="C29" s="5" t="inlineStr">
        <is>
          <t>DTP-25</t>
        </is>
      </c>
      <c r="D29" s="6" t="inlineStr">
        <is>
          <t>VENTILADOR</t>
        </is>
      </c>
      <c r="E29" s="6" t="inlineStr">
        <is>
          <t>EQUIPOS DE CLIMATIZACION Y REFRIGERACION</t>
        </is>
      </c>
      <c r="F29" s="5" t="inlineStr">
        <is>
          <t>SERVICIO</t>
        </is>
      </c>
      <c r="G29" s="6" t="inlineStr">
        <is>
          <t>DEPARTAMENTO PRODUCC.</t>
        </is>
      </c>
      <c r="H29" s="6" t="inlineStr">
        <is>
          <t>Recco</t>
        </is>
      </c>
      <c r="I29" s="6" t="inlineStr">
        <is>
          <t>RVP-45PM Pedestal</t>
        </is>
      </c>
      <c r="J29" s="5" t="inlineStr">
        <is>
          <t>SN-DTP25-5474</t>
        </is>
      </c>
      <c r="K29" s="7" t="n">
        <v>44503</v>
      </c>
      <c r="L29" s="8" t="n">
        <v>39990</v>
      </c>
      <c r="M29" s="6" t="inlineStr">
        <is>
          <t>JEFE DPTO. PRODUCC.</t>
        </is>
      </c>
    </row>
    <row r="30">
      <c r="A30" s="9" t="n">
        <v>26</v>
      </c>
      <c r="B30" s="10" t="inlineStr">
        <is>
          <t>DIRECCION TECNICO-PRODUCTIVA</t>
        </is>
      </c>
      <c r="C30" s="9" t="inlineStr">
        <is>
          <t>DTP-26</t>
        </is>
      </c>
      <c r="D30" s="10" t="inlineStr">
        <is>
          <t>VENTILADOR</t>
        </is>
      </c>
      <c r="E30" s="10" t="inlineStr">
        <is>
          <t>EQUIPOS DE CLIMATIZACION Y REFRIGERACION</t>
        </is>
      </c>
      <c r="F30" s="9" t="inlineStr">
        <is>
          <t>SERVICIO</t>
        </is>
      </c>
      <c r="G30" s="10" t="inlineStr">
        <is>
          <t>DEPARTAMENTO PRODUCC.</t>
        </is>
      </c>
      <c r="H30" s="10" t="inlineStr">
        <is>
          <t>Recco</t>
        </is>
      </c>
      <c r="I30" s="10" t="inlineStr">
        <is>
          <t>RVP-45PM Pedestal</t>
        </is>
      </c>
      <c r="J30" s="9" t="inlineStr">
        <is>
          <t>SN-DTP26-5611</t>
        </is>
      </c>
      <c r="K30" s="11" t="n">
        <v>44508</v>
      </c>
      <c r="L30" s="12" t="n">
        <v>39990</v>
      </c>
      <c r="M30" s="10" t="inlineStr">
        <is>
          <t>JEFE DPTO. PRODUCC.</t>
        </is>
      </c>
    </row>
    <row r="31">
      <c r="A31" s="5" t="n">
        <v>27</v>
      </c>
      <c r="B31" s="6" t="inlineStr">
        <is>
          <t>DIRECCION TECNICO-PRODUCTIVA</t>
        </is>
      </c>
      <c r="C31" s="5" t="inlineStr">
        <is>
          <t>DTP-27</t>
        </is>
      </c>
      <c r="D31" s="6" t="inlineStr">
        <is>
          <t>PC ESCRITORIO</t>
        </is>
      </c>
      <c r="E31" s="6" t="inlineStr">
        <is>
          <t>INFORMATICA</t>
        </is>
      </c>
      <c r="F31" s="5" t="inlineStr">
        <is>
          <t>SERVICIO</t>
        </is>
      </c>
      <c r="G31" s="6" t="inlineStr">
        <is>
          <t>DEPARTAMENTO PRODUCC.</t>
        </is>
      </c>
      <c r="H31" s="6" t="inlineStr">
        <is>
          <t>HP</t>
        </is>
      </c>
      <c r="I31" s="6" t="inlineStr">
        <is>
          <t>ProDesk 400 G9 SFF</t>
        </is>
      </c>
      <c r="J31" s="5" t="inlineStr">
        <is>
          <t>SN-DTP27-5748</t>
        </is>
      </c>
      <c r="K31" s="7" t="n">
        <v>44513</v>
      </c>
      <c r="L31" s="8" t="n">
        <v>549900</v>
      </c>
      <c r="M31" s="6" t="inlineStr">
        <is>
          <t>JEFE DPTO. PRODUCC.</t>
        </is>
      </c>
    </row>
    <row r="32">
      <c r="A32" s="9" t="n">
        <v>28</v>
      </c>
      <c r="B32" s="10" t="inlineStr">
        <is>
          <t>DIRECCION TECNICO-PRODUCTIVA</t>
        </is>
      </c>
      <c r="C32" s="9" t="inlineStr">
        <is>
          <t>DTP-28</t>
        </is>
      </c>
      <c r="D32" s="10" t="inlineStr">
        <is>
          <t>PC ESCRITORIO</t>
        </is>
      </c>
      <c r="E32" s="10" t="inlineStr">
        <is>
          <t>INFORMATICA</t>
        </is>
      </c>
      <c r="F32" s="9" t="inlineStr">
        <is>
          <t>SERVICIO</t>
        </is>
      </c>
      <c r="G32" s="10" t="inlineStr">
        <is>
          <t>DEPARTAMENTO PRODUCC.</t>
        </is>
      </c>
      <c r="H32" s="10" t="inlineStr">
        <is>
          <t>HP</t>
        </is>
      </c>
      <c r="I32" s="10" t="inlineStr">
        <is>
          <t>ProDesk 400 G9 SFF</t>
        </is>
      </c>
      <c r="J32" s="9" t="inlineStr">
        <is>
          <t>SN-DTP28-5885</t>
        </is>
      </c>
      <c r="K32" s="11" t="n">
        <v>44503</v>
      </c>
      <c r="L32" s="12" t="n">
        <v>549900</v>
      </c>
      <c r="M32" s="10" t="inlineStr">
        <is>
          <t>JEFE DPTO. PRODUCC.</t>
        </is>
      </c>
    </row>
    <row r="33">
      <c r="A33" s="5" t="n">
        <v>29</v>
      </c>
      <c r="B33" s="6" t="inlineStr">
        <is>
          <t>DIRECCION TECNICO-PRODUCTIVA</t>
        </is>
      </c>
      <c r="C33" s="5" t="inlineStr">
        <is>
          <t>DTP-29</t>
        </is>
      </c>
      <c r="D33" s="6" t="inlineStr">
        <is>
          <t>1 IMPRESORA</t>
        </is>
      </c>
      <c r="E33" s="6" t="inlineStr">
        <is>
          <t>INFORMATICA</t>
        </is>
      </c>
      <c r="F33" s="5" t="inlineStr">
        <is>
          <t>SERVICIO</t>
        </is>
      </c>
      <c r="G33" s="6" t="inlineStr">
        <is>
          <t>DEPARTAMENTO PRODUCC.</t>
        </is>
      </c>
      <c r="H33" s="6" t="inlineStr">
        <is>
          <t>Epson</t>
        </is>
      </c>
      <c r="I33" s="6" t="inlineStr">
        <is>
          <t>EcoTank L3250</t>
        </is>
      </c>
      <c r="J33" s="5" t="inlineStr">
        <is>
          <t>SN-DTP29-6022</t>
        </is>
      </c>
      <c r="K33" s="7" t="n">
        <v>44508</v>
      </c>
      <c r="L33" s="8" t="n">
        <v>179900</v>
      </c>
      <c r="M33" s="6" t="inlineStr">
        <is>
          <t>JEFE DPTO. PRODUCC.</t>
        </is>
      </c>
    </row>
    <row r="34">
      <c r="A34" s="9" t="n">
        <v>30</v>
      </c>
      <c r="B34" s="10" t="inlineStr">
        <is>
          <t>DIRECCION TECNICO-PRODUCTIVA</t>
        </is>
      </c>
      <c r="C34" s="9" t="inlineStr">
        <is>
          <t>DTP-30</t>
        </is>
      </c>
      <c r="D34" s="10" t="inlineStr">
        <is>
          <t>MESA BURO/ 4 GAVETAS</t>
        </is>
      </c>
      <c r="E34" s="10" t="inlineStr">
        <is>
          <t>MOBILIARIO</t>
        </is>
      </c>
      <c r="F34" s="9" t="inlineStr">
        <is>
          <t>SERVICIO</t>
        </is>
      </c>
      <c r="G34" s="10" t="inlineStr">
        <is>
          <t>PLANTA JABONERIA</t>
        </is>
      </c>
      <c r="H34" s="10" t="inlineStr">
        <is>
          <t>Rosen</t>
        </is>
      </c>
      <c r="I34" s="10" t="inlineStr">
        <is>
          <t>Buro Ejecutivo BR-4G120</t>
        </is>
      </c>
      <c r="J34" s="9" t="inlineStr">
        <is>
          <t>SN-DTP30-6159</t>
        </is>
      </c>
      <c r="K34" s="11" t="n">
        <v>43979</v>
      </c>
      <c r="L34" s="12" t="n">
        <v>189900</v>
      </c>
      <c r="M34" s="10" t="inlineStr">
        <is>
          <t>JEFE PLANTA JABONERIA</t>
        </is>
      </c>
    </row>
    <row r="35">
      <c r="A35" s="5" t="n">
        <v>31</v>
      </c>
      <c r="B35" s="6" t="inlineStr">
        <is>
          <t>DIRECCION TECNICO-PRODUCTIVA</t>
        </is>
      </c>
      <c r="C35" s="5" t="inlineStr">
        <is>
          <t>DTP-31</t>
        </is>
      </c>
      <c r="D35" s="6" t="inlineStr">
        <is>
          <t>MESA BURO/ 4 GAVETAS</t>
        </is>
      </c>
      <c r="E35" s="6" t="inlineStr">
        <is>
          <t>MOBILIARIO</t>
        </is>
      </c>
      <c r="F35" s="5" t="inlineStr">
        <is>
          <t>SERVICIO</t>
        </is>
      </c>
      <c r="G35" s="6" t="inlineStr">
        <is>
          <t>PLANTA JABONERIA</t>
        </is>
      </c>
      <c r="H35" s="6" t="inlineStr">
        <is>
          <t>Rosen</t>
        </is>
      </c>
      <c r="I35" s="6" t="inlineStr">
        <is>
          <t>Buro Ejecutivo BR-4G120</t>
        </is>
      </c>
      <c r="J35" s="5" t="inlineStr">
        <is>
          <t>SN-DTP31-6296</t>
        </is>
      </c>
      <c r="K35" s="7" t="n">
        <v>43970</v>
      </c>
      <c r="L35" s="8" t="n">
        <v>189900</v>
      </c>
      <c r="M35" s="6" t="inlineStr">
        <is>
          <t>JEFE PLANTA JABONERIA</t>
        </is>
      </c>
    </row>
    <row r="36">
      <c r="A36" s="9" t="n">
        <v>32</v>
      </c>
      <c r="B36" s="10" t="inlineStr">
        <is>
          <t>DIRECCION TECNICO-PRODUCTIVA</t>
        </is>
      </c>
      <c r="C36" s="9" t="inlineStr">
        <is>
          <t>DTP-32</t>
        </is>
      </c>
      <c r="D36" s="10" t="inlineStr">
        <is>
          <t>SILLA GIRATORIA</t>
        </is>
      </c>
      <c r="E36" s="10" t="inlineStr">
        <is>
          <t>MOBILIARIO</t>
        </is>
      </c>
      <c r="F36" s="9" t="inlineStr">
        <is>
          <t>SERVICIO</t>
        </is>
      </c>
      <c r="G36" s="10" t="inlineStr">
        <is>
          <t>PLANTA JABONERIA</t>
        </is>
      </c>
      <c r="H36" s="10" t="inlineStr">
        <is>
          <t>Ergosillas</t>
        </is>
      </c>
      <c r="I36" s="10" t="inlineStr">
        <is>
          <t>Pro Ergo 120</t>
        </is>
      </c>
      <c r="J36" s="9" t="inlineStr">
        <is>
          <t>SN-DTP32-6433</t>
        </is>
      </c>
      <c r="K36" s="11" t="n">
        <v>43975</v>
      </c>
      <c r="L36" s="12" t="n">
        <v>109900</v>
      </c>
      <c r="M36" s="10" t="inlineStr">
        <is>
          <t>JEFE PLANTA JABONERIA</t>
        </is>
      </c>
    </row>
    <row r="37">
      <c r="A37" s="5" t="n">
        <v>33</v>
      </c>
      <c r="B37" s="6" t="inlineStr">
        <is>
          <t>DIRECCION TECNICO-PRODUCTIVA</t>
        </is>
      </c>
      <c r="C37" s="5" t="inlineStr">
        <is>
          <t>DTP-33</t>
        </is>
      </c>
      <c r="D37" s="6" t="inlineStr">
        <is>
          <t>SILLA GIRATORIA</t>
        </is>
      </c>
      <c r="E37" s="6" t="inlineStr">
        <is>
          <t>MOBILIARIO</t>
        </is>
      </c>
      <c r="F37" s="5" t="inlineStr">
        <is>
          <t>SERVICIO</t>
        </is>
      </c>
      <c r="G37" s="6" t="inlineStr">
        <is>
          <t>PLANTA JABONERIA</t>
        </is>
      </c>
      <c r="H37" s="6" t="inlineStr">
        <is>
          <t>Ergosillas</t>
        </is>
      </c>
      <c r="I37" s="6" t="inlineStr">
        <is>
          <t>Pro Ergo 120</t>
        </is>
      </c>
      <c r="J37" s="5" t="inlineStr">
        <is>
          <t>SN-DTP33-6570</t>
        </is>
      </c>
      <c r="K37" s="7" t="n">
        <v>43979</v>
      </c>
      <c r="L37" s="8" t="n">
        <v>109900</v>
      </c>
      <c r="M37" s="6" t="inlineStr">
        <is>
          <t>JEFE PLANTA JABONERIA</t>
        </is>
      </c>
    </row>
    <row r="38">
      <c r="A38" s="9" t="n">
        <v>34</v>
      </c>
      <c r="B38" s="10" t="inlineStr">
        <is>
          <t>DIRECCION TECNICO-PRODUCTIVA</t>
        </is>
      </c>
      <c r="C38" s="9" t="inlineStr">
        <is>
          <t>DTP-34</t>
        </is>
      </c>
      <c r="D38" s="10" t="inlineStr">
        <is>
          <t>VENTILADOR</t>
        </is>
      </c>
      <c r="E38" s="10" t="inlineStr">
        <is>
          <t>EQUIPOS DE CLIMATIZACION Y REFRIGERACION</t>
        </is>
      </c>
      <c r="F38" s="14" t="inlineStr">
        <is>
          <t>BAJA</t>
        </is>
      </c>
      <c r="G38" s="10" t="inlineStr">
        <is>
          <t>PLANTA JABONERIA</t>
        </is>
      </c>
      <c r="H38" s="10" t="inlineStr">
        <is>
          <t>Recco</t>
        </is>
      </c>
      <c r="I38" s="10" t="inlineStr">
        <is>
          <t>RVP-45PM Pedestal</t>
        </is>
      </c>
      <c r="J38" s="9" t="inlineStr">
        <is>
          <t>SN-DTP34-6707</t>
        </is>
      </c>
      <c r="K38" s="11" t="n">
        <v>43970</v>
      </c>
      <c r="L38" s="12" t="n">
        <v>39990</v>
      </c>
      <c r="M38" s="10" t="inlineStr">
        <is>
          <t>JEFE PLANTA JABONERIA</t>
        </is>
      </c>
    </row>
    <row r="39">
      <c r="A39" s="5" t="n">
        <v>35</v>
      </c>
      <c r="B39" s="6" t="inlineStr">
        <is>
          <t>DIRECCION TECNICO-PRODUCTIVA</t>
        </is>
      </c>
      <c r="C39" s="5" t="inlineStr">
        <is>
          <t>DTP-35</t>
        </is>
      </c>
      <c r="D39" s="6" t="inlineStr">
        <is>
          <t>VENTILADOR</t>
        </is>
      </c>
      <c r="E39" s="6" t="inlineStr">
        <is>
          <t>EQUIPOS DE CLIMATIZACION Y REFRIGERACION</t>
        </is>
      </c>
      <c r="F39" s="5" t="inlineStr">
        <is>
          <t>SERVICIO</t>
        </is>
      </c>
      <c r="G39" s="6" t="inlineStr">
        <is>
          <t>PLANTA JABONERIA</t>
        </is>
      </c>
      <c r="H39" s="6" t="inlineStr">
        <is>
          <t>Recco</t>
        </is>
      </c>
      <c r="I39" s="6" t="inlineStr">
        <is>
          <t>RVP-45PM Pedestal</t>
        </is>
      </c>
      <c r="J39" s="5" t="inlineStr">
        <is>
          <t>SN-DTP35-6844</t>
        </is>
      </c>
      <c r="K39" s="7" t="n">
        <v>43975</v>
      </c>
      <c r="L39" s="8" t="n">
        <v>39990</v>
      </c>
      <c r="M39" s="6" t="inlineStr">
        <is>
          <t>JEFE PLANTA JABONERIA</t>
        </is>
      </c>
    </row>
    <row r="40">
      <c r="A40" s="9" t="n">
        <v>36</v>
      </c>
      <c r="B40" s="10" t="inlineStr">
        <is>
          <t>DIRECCION TECNICO-PRODUCTIVA</t>
        </is>
      </c>
      <c r="C40" s="9" t="inlineStr">
        <is>
          <t>DTP-36</t>
        </is>
      </c>
      <c r="D40" s="10" t="inlineStr">
        <is>
          <t>PC ESCRITORIO</t>
        </is>
      </c>
      <c r="E40" s="10" t="inlineStr">
        <is>
          <t>INFORMATICA</t>
        </is>
      </c>
      <c r="F40" s="9" t="inlineStr">
        <is>
          <t>SERVICIO</t>
        </is>
      </c>
      <c r="G40" s="10" t="inlineStr">
        <is>
          <t>PLANTA JABONERIA</t>
        </is>
      </c>
      <c r="H40" s="10" t="inlineStr">
        <is>
          <t>HP</t>
        </is>
      </c>
      <c r="I40" s="10" t="inlineStr">
        <is>
          <t>ProDesk 400 G9 SFF</t>
        </is>
      </c>
      <c r="J40" s="9" t="inlineStr">
        <is>
          <t>SN-DTP36-6981</t>
        </is>
      </c>
      <c r="K40" s="11" t="n">
        <v>43979</v>
      </c>
      <c r="L40" s="12" t="n">
        <v>549900</v>
      </c>
      <c r="M40" s="10" t="inlineStr">
        <is>
          <t>JEFE PLANTA JABONERIA</t>
        </is>
      </c>
    </row>
    <row r="41">
      <c r="A41" s="5" t="n">
        <v>37</v>
      </c>
      <c r="B41" s="6" t="inlineStr">
        <is>
          <t>DIRECCION TECNICO-PRODUCTIVA</t>
        </is>
      </c>
      <c r="C41" s="5" t="inlineStr">
        <is>
          <t>DTP-37</t>
        </is>
      </c>
      <c r="D41" s="6" t="inlineStr">
        <is>
          <t>PC ESCRITORIO</t>
        </is>
      </c>
      <c r="E41" s="6" t="inlineStr">
        <is>
          <t>INFORMATICA</t>
        </is>
      </c>
      <c r="F41" s="5" t="inlineStr">
        <is>
          <t>SERVICIO</t>
        </is>
      </c>
      <c r="G41" s="6" t="inlineStr">
        <is>
          <t>PLANTA JABONERIA</t>
        </is>
      </c>
      <c r="H41" s="6" t="inlineStr">
        <is>
          <t>HP</t>
        </is>
      </c>
      <c r="I41" s="6" t="inlineStr">
        <is>
          <t>ProDesk 400 G9 SFF</t>
        </is>
      </c>
      <c r="J41" s="5" t="inlineStr">
        <is>
          <t>SN-DTP37-7118</t>
        </is>
      </c>
      <c r="K41" s="7" t="n">
        <v>43970</v>
      </c>
      <c r="L41" s="8" t="n">
        <v>549900</v>
      </c>
      <c r="M41" s="6" t="inlineStr">
        <is>
          <t>JEFE PLANTA JABONERIA</t>
        </is>
      </c>
    </row>
    <row r="42">
      <c r="A42" s="9" t="n">
        <v>38</v>
      </c>
      <c r="B42" s="10" t="inlineStr">
        <is>
          <t>DIRECCION TECNICO-PRODUCTIVA</t>
        </is>
      </c>
      <c r="C42" s="9" t="inlineStr">
        <is>
          <t>DTP-38</t>
        </is>
      </c>
      <c r="D42" s="10" t="inlineStr">
        <is>
          <t>1 IMPRESORA</t>
        </is>
      </c>
      <c r="E42" s="10" t="inlineStr">
        <is>
          <t>INFORMATICA</t>
        </is>
      </c>
      <c r="F42" s="9" t="inlineStr">
        <is>
          <t>SERVICIO</t>
        </is>
      </c>
      <c r="G42" s="10" t="inlineStr">
        <is>
          <t>PLANTA JABONERIA</t>
        </is>
      </c>
      <c r="H42" s="10" t="inlineStr">
        <is>
          <t>Epson</t>
        </is>
      </c>
      <c r="I42" s="10" t="inlineStr">
        <is>
          <t>EcoTank L3250</t>
        </is>
      </c>
      <c r="J42" s="9" t="inlineStr">
        <is>
          <t>SN-DTP38-7255</t>
        </is>
      </c>
      <c r="K42" s="11" t="n">
        <v>43975</v>
      </c>
      <c r="L42" s="12" t="n">
        <v>179900</v>
      </c>
      <c r="M42" s="10" t="inlineStr">
        <is>
          <t>JEFE PLANTA JABONERIA</t>
        </is>
      </c>
    </row>
    <row r="43">
      <c r="A43" s="5" t="n">
        <v>39</v>
      </c>
      <c r="B43" s="6" t="inlineStr">
        <is>
          <t>DIRECCION TECNICO-PRODUCTIVA</t>
        </is>
      </c>
      <c r="C43" s="5" t="inlineStr">
        <is>
          <t>DTP-39</t>
        </is>
      </c>
      <c r="D43" s="6" t="inlineStr">
        <is>
          <t>LINEA DE JABONERIA</t>
        </is>
      </c>
      <c r="E43" s="6" t="inlineStr">
        <is>
          <t>TECNOLOGIA</t>
        </is>
      </c>
      <c r="F43" s="5" t="inlineStr">
        <is>
          <t>SERVICIO</t>
        </is>
      </c>
      <c r="G43" s="6" t="inlineStr">
        <is>
          <t>PLANTA JABONERIA</t>
        </is>
      </c>
      <c r="H43" s="6" t="inlineStr">
        <is>
          <t>Mazzoni LB</t>
        </is>
      </c>
      <c r="I43" s="6" t="inlineStr">
        <is>
          <t>SLP-800 Jaboneria</t>
        </is>
      </c>
      <c r="J43" s="5" t="inlineStr">
        <is>
          <t>SN-DTP39-7392</t>
        </is>
      </c>
      <c r="K43" s="7" t="n">
        <v>43979</v>
      </c>
      <c r="L43" s="8" t="n">
        <v>84900000</v>
      </c>
      <c r="M43" s="6" t="inlineStr">
        <is>
          <t>JEFE PLANTA JABONERIA</t>
        </is>
      </c>
    </row>
    <row r="44">
      <c r="A44" s="9" t="n">
        <v>40</v>
      </c>
      <c r="B44" s="10" t="inlineStr">
        <is>
          <t>DIRECCION TECNICO-PRODUCTIVA</t>
        </is>
      </c>
      <c r="C44" s="9" t="inlineStr">
        <is>
          <t>DTP-40</t>
        </is>
      </c>
      <c r="D44" s="10" t="inlineStr">
        <is>
          <t>LINEA DE JABONERIA</t>
        </is>
      </c>
      <c r="E44" s="10" t="inlineStr">
        <is>
          <t>TECNOLOGIA</t>
        </is>
      </c>
      <c r="F44" s="9" t="inlineStr">
        <is>
          <t>SERVICIO</t>
        </is>
      </c>
      <c r="G44" s="10" t="inlineStr">
        <is>
          <t>PLANTA JABONERIA</t>
        </is>
      </c>
      <c r="H44" s="10" t="inlineStr">
        <is>
          <t>Mazzoni LB</t>
        </is>
      </c>
      <c r="I44" s="10" t="inlineStr">
        <is>
          <t>SLP-800 Jaboneria</t>
        </is>
      </c>
      <c r="J44" s="9" t="inlineStr">
        <is>
          <t>SN-DTP40-7529</t>
        </is>
      </c>
      <c r="K44" s="11" t="n">
        <v>43970</v>
      </c>
      <c r="L44" s="12" t="n">
        <v>84900000</v>
      </c>
      <c r="M44" s="10" t="inlineStr">
        <is>
          <t>JEFE PLANTA JABONERIA</t>
        </is>
      </c>
    </row>
    <row r="45">
      <c r="A45" s="5" t="n">
        <v>41</v>
      </c>
      <c r="B45" s="6" t="inlineStr">
        <is>
          <t>DIRECCION TECNICO-PRODUCTIVA</t>
        </is>
      </c>
      <c r="C45" s="5" t="inlineStr">
        <is>
          <t>DTP-41</t>
        </is>
      </c>
      <c r="D45" s="6" t="inlineStr">
        <is>
          <t>LINEA DE JABONERIA</t>
        </is>
      </c>
      <c r="E45" s="6" t="inlineStr">
        <is>
          <t>TECNOLOGIA</t>
        </is>
      </c>
      <c r="F45" s="5" t="inlineStr">
        <is>
          <t>SERVICIO</t>
        </is>
      </c>
      <c r="G45" s="6" t="inlineStr">
        <is>
          <t>PLANTA JABONERIA</t>
        </is>
      </c>
      <c r="H45" s="6" t="inlineStr">
        <is>
          <t>Mazzoni LB</t>
        </is>
      </c>
      <c r="I45" s="6" t="inlineStr">
        <is>
          <t>SLP-800 Jaboneria</t>
        </is>
      </c>
      <c r="J45" s="5" t="inlineStr">
        <is>
          <t>SN-DTP41-7666</t>
        </is>
      </c>
      <c r="K45" s="7" t="n">
        <v>43975</v>
      </c>
      <c r="L45" s="8" t="n">
        <v>84900000</v>
      </c>
      <c r="M45" s="6" t="inlineStr">
        <is>
          <t>JEFE PLANTA JABONERIA</t>
        </is>
      </c>
    </row>
    <row r="46">
      <c r="A46" s="9" t="n">
        <v>42</v>
      </c>
      <c r="B46" s="10" t="inlineStr">
        <is>
          <t>DIRECCION TECNICO-PRODUCTIVA</t>
        </is>
      </c>
      <c r="C46" s="9" t="inlineStr">
        <is>
          <t>DTP-42</t>
        </is>
      </c>
      <c r="D46" s="10" t="inlineStr">
        <is>
          <t>LINEA DE JABONERIA</t>
        </is>
      </c>
      <c r="E46" s="10" t="inlineStr">
        <is>
          <t>TECNOLOGIA</t>
        </is>
      </c>
      <c r="F46" s="9" t="inlineStr">
        <is>
          <t>SERVICIO</t>
        </is>
      </c>
      <c r="G46" s="10" t="inlineStr">
        <is>
          <t>PLANTA JABONERIA</t>
        </is>
      </c>
      <c r="H46" s="10" t="inlineStr">
        <is>
          <t>Mazzoni LB</t>
        </is>
      </c>
      <c r="I46" s="10" t="inlineStr">
        <is>
          <t>SLP-800 Jaboneria</t>
        </is>
      </c>
      <c r="J46" s="9" t="inlineStr">
        <is>
          <t>SN-DTP42-7803</t>
        </is>
      </c>
      <c r="K46" s="11" t="n">
        <v>43979</v>
      </c>
      <c r="L46" s="12" t="n">
        <v>84900000</v>
      </c>
      <c r="M46" s="10" t="inlineStr">
        <is>
          <t>JEFE PLANTA JABONERIA</t>
        </is>
      </c>
    </row>
    <row r="47">
      <c r="A47" s="5" t="n">
        <v>43</v>
      </c>
      <c r="B47" s="6" t="inlineStr">
        <is>
          <t>DIRECCION TECNICO-PRODUCTIVA</t>
        </is>
      </c>
      <c r="C47" s="5" t="inlineStr">
        <is>
          <t>DTP-43</t>
        </is>
      </c>
      <c r="D47" s="6" t="inlineStr">
        <is>
          <t>MONTA CARGA ELECTRICO</t>
        </is>
      </c>
      <c r="E47" s="6" t="inlineStr">
        <is>
          <t>TRANSPORTE</t>
        </is>
      </c>
      <c r="F47" s="5" t="inlineStr">
        <is>
          <t>SERVICIO</t>
        </is>
      </c>
      <c r="G47" s="6" t="inlineStr">
        <is>
          <t>PLANTA JABONERIA</t>
        </is>
      </c>
      <c r="H47" s="6" t="inlineStr">
        <is>
          <t>Toyota</t>
        </is>
      </c>
      <c r="I47" s="6" t="inlineStr">
        <is>
          <t>8FBET18 Electrico 1,8 t</t>
        </is>
      </c>
      <c r="J47" s="5" t="inlineStr">
        <is>
          <t>SN-DTP43-7940</t>
        </is>
      </c>
      <c r="K47" s="7" t="n">
        <v>43970</v>
      </c>
      <c r="L47" s="8" t="n">
        <v>18900000</v>
      </c>
      <c r="M47" s="6" t="inlineStr">
        <is>
          <t>JEFE PLANTA JABONERIA</t>
        </is>
      </c>
    </row>
    <row r="48">
      <c r="A48" s="9" t="n">
        <v>44</v>
      </c>
      <c r="B48" s="10" t="inlineStr">
        <is>
          <t>DIRECCION TECNICO-PRODUCTIVA</t>
        </is>
      </c>
      <c r="C48" s="9" t="inlineStr">
        <is>
          <t>DTP-44</t>
        </is>
      </c>
      <c r="D48" s="10" t="inlineStr">
        <is>
          <t>EXTRACTOR DE AIRE</t>
        </is>
      </c>
      <c r="E48" s="10" t="inlineStr">
        <is>
          <t>EQUIPOS DE CLIMATIZACION Y REFRIGERACION</t>
        </is>
      </c>
      <c r="F48" s="9" t="inlineStr">
        <is>
          <t>SERVICIO</t>
        </is>
      </c>
      <c r="G48" s="10" t="inlineStr">
        <is>
          <t>PLANTA JABONERIA</t>
        </is>
      </c>
      <c r="H48" s="10" t="inlineStr">
        <is>
          <t>Soler &amp; Palau</t>
        </is>
      </c>
      <c r="I48" s="10" t="inlineStr">
        <is>
          <t>HXBR-400 Industrial</t>
        </is>
      </c>
      <c r="J48" s="9" t="inlineStr">
        <is>
          <t>SN-DTP44-8077</t>
        </is>
      </c>
      <c r="K48" s="11" t="n">
        <v>43975</v>
      </c>
      <c r="L48" s="12" t="n">
        <v>1290000</v>
      </c>
      <c r="M48" s="10" t="inlineStr">
        <is>
          <t>JEFE PLANTA JABONERIA</t>
        </is>
      </c>
    </row>
    <row r="49">
      <c r="A49" s="5" t="n">
        <v>45</v>
      </c>
      <c r="B49" s="6" t="inlineStr">
        <is>
          <t>DIRECCION TECNICO-PRODUCTIVA</t>
        </is>
      </c>
      <c r="C49" s="5" t="inlineStr">
        <is>
          <t>DTP-45</t>
        </is>
      </c>
      <c r="D49" s="6" t="inlineStr">
        <is>
          <t>EXTRACTOR DE AIRE</t>
        </is>
      </c>
      <c r="E49" s="6" t="inlineStr">
        <is>
          <t>EQUIPOS DE CLIMATIZACION Y REFRIGERACION</t>
        </is>
      </c>
      <c r="F49" s="5" t="inlineStr">
        <is>
          <t>SERVICIO</t>
        </is>
      </c>
      <c r="G49" s="6" t="inlineStr">
        <is>
          <t>PLANTA JABONERIA</t>
        </is>
      </c>
      <c r="H49" s="6" t="inlineStr">
        <is>
          <t>Soler &amp; Palau</t>
        </is>
      </c>
      <c r="I49" s="6" t="inlineStr">
        <is>
          <t>HXBR-400 Industrial</t>
        </is>
      </c>
      <c r="J49" s="5" t="inlineStr">
        <is>
          <t>SN-DTP45-8214</t>
        </is>
      </c>
      <c r="K49" s="7" t="n">
        <v>43979</v>
      </c>
      <c r="L49" s="8" t="n">
        <v>1290000</v>
      </c>
      <c r="M49" s="6" t="inlineStr">
        <is>
          <t>JEFE PLANTA JABONERIA</t>
        </is>
      </c>
    </row>
    <row r="50">
      <c r="A50" s="9" t="n">
        <v>46</v>
      </c>
      <c r="B50" s="10" t="inlineStr">
        <is>
          <t>DIRECCION TECNICO-PRODUCTIVA</t>
        </is>
      </c>
      <c r="C50" s="9" t="inlineStr">
        <is>
          <t>DTP-46</t>
        </is>
      </c>
      <c r="D50" s="10" t="inlineStr">
        <is>
          <t>EXTRACTOR DE AIRE</t>
        </is>
      </c>
      <c r="E50" s="10" t="inlineStr">
        <is>
          <t>EQUIPOS DE CLIMATIZACION Y REFRIGERACION</t>
        </is>
      </c>
      <c r="F50" s="14" t="inlineStr">
        <is>
          <t>BAJA</t>
        </is>
      </c>
      <c r="G50" s="10" t="inlineStr">
        <is>
          <t>PLANTA JABONERIA</t>
        </is>
      </c>
      <c r="H50" s="10" t="inlineStr">
        <is>
          <t>Soler &amp; Palau</t>
        </is>
      </c>
      <c r="I50" s="10" t="inlineStr">
        <is>
          <t>HXBR-400 Industrial</t>
        </is>
      </c>
      <c r="J50" s="9" t="inlineStr">
        <is>
          <t>SN-DTP46-8351</t>
        </is>
      </c>
      <c r="K50" s="11" t="n">
        <v>43970</v>
      </c>
      <c r="L50" s="12" t="n">
        <v>1290000</v>
      </c>
      <c r="M50" s="10" t="inlineStr">
        <is>
          <t>JEFE PLANTA JABONERIA</t>
        </is>
      </c>
    </row>
    <row r="51">
      <c r="A51" s="5" t="n">
        <v>47</v>
      </c>
      <c r="B51" s="6" t="inlineStr">
        <is>
          <t>DIRECCION TECNICO-PRODUCTIVA</t>
        </is>
      </c>
      <c r="C51" s="5" t="inlineStr">
        <is>
          <t>DTP-47</t>
        </is>
      </c>
      <c r="D51" s="6" t="inlineStr">
        <is>
          <t>EXTRACTOR DE AIRE</t>
        </is>
      </c>
      <c r="E51" s="6" t="inlineStr">
        <is>
          <t>EQUIPOS DE CLIMATIZACION Y REFRIGERACION</t>
        </is>
      </c>
      <c r="F51" s="13" t="inlineStr">
        <is>
          <t>MTTO</t>
        </is>
      </c>
      <c r="G51" s="6" t="inlineStr">
        <is>
          <t>PLANTA JABONERIA</t>
        </is>
      </c>
      <c r="H51" s="6" t="inlineStr">
        <is>
          <t>Soler &amp; Palau</t>
        </is>
      </c>
      <c r="I51" s="6" t="inlineStr">
        <is>
          <t>HXBR-400 Industrial</t>
        </is>
      </c>
      <c r="J51" s="5" t="inlineStr">
        <is>
          <t>SN-DTP47-8488</t>
        </is>
      </c>
      <c r="K51" s="7" t="n">
        <v>43975</v>
      </c>
      <c r="L51" s="8" t="n">
        <v>1290000</v>
      </c>
      <c r="M51" s="6" t="inlineStr">
        <is>
          <t>JEFE PLANTA JABONERIA</t>
        </is>
      </c>
    </row>
    <row r="52">
      <c r="A52" s="9" t="n">
        <v>48</v>
      </c>
      <c r="B52" s="10" t="inlineStr">
        <is>
          <t>DIRECCION TECNICO-PRODUCTIVA</t>
        </is>
      </c>
      <c r="C52" s="9" t="inlineStr">
        <is>
          <t>DTP-48</t>
        </is>
      </c>
      <c r="D52" s="10" t="inlineStr">
        <is>
          <t>EXTRACTOR DE AIRE</t>
        </is>
      </c>
      <c r="E52" s="10" t="inlineStr">
        <is>
          <t>EQUIPOS DE CLIMATIZACION Y REFRIGERACION</t>
        </is>
      </c>
      <c r="F52" s="9" t="inlineStr">
        <is>
          <t>SERVICIO</t>
        </is>
      </c>
      <c r="G52" s="10" t="inlineStr">
        <is>
          <t>PLANTA JABONERIA</t>
        </is>
      </c>
      <c r="H52" s="10" t="inlineStr">
        <is>
          <t>Soler &amp; Palau</t>
        </is>
      </c>
      <c r="I52" s="10" t="inlineStr">
        <is>
          <t>HXBR-400 Industrial</t>
        </is>
      </c>
      <c r="J52" s="9" t="inlineStr">
        <is>
          <t>SN-DTP48-8625</t>
        </is>
      </c>
      <c r="K52" s="11" t="n">
        <v>43979</v>
      </c>
      <c r="L52" s="12" t="n">
        <v>1290000</v>
      </c>
      <c r="M52" s="10" t="inlineStr">
        <is>
          <t>JEFE PLANTA JABONERIA</t>
        </is>
      </c>
    </row>
    <row r="53">
      <c r="A53" s="5" t="n">
        <v>49</v>
      </c>
      <c r="B53" s="6" t="inlineStr">
        <is>
          <t>DIRECCION TECNICO-PRODUCTIVA</t>
        </is>
      </c>
      <c r="C53" s="5" t="inlineStr">
        <is>
          <t>DTP-49</t>
        </is>
      </c>
      <c r="D53" s="6" t="inlineStr">
        <is>
          <t>EXTRACTOR DE AIRE</t>
        </is>
      </c>
      <c r="E53" s="6" t="inlineStr">
        <is>
          <t>EQUIPOS DE CLIMATIZACION Y REFRIGERACION</t>
        </is>
      </c>
      <c r="F53" s="5" t="inlineStr">
        <is>
          <t>SERVICIO</t>
        </is>
      </c>
      <c r="G53" s="6" t="inlineStr">
        <is>
          <t>PLANTA JABONERIA</t>
        </is>
      </c>
      <c r="H53" s="6" t="inlineStr">
        <is>
          <t>Soler &amp; Palau</t>
        </is>
      </c>
      <c r="I53" s="6" t="inlineStr">
        <is>
          <t>HXBR-400 Industrial</t>
        </is>
      </c>
      <c r="J53" s="5" t="inlineStr">
        <is>
          <t>SN-DTP49-8762</t>
        </is>
      </c>
      <c r="K53" s="7" t="n">
        <v>43970</v>
      </c>
      <c r="L53" s="8" t="n">
        <v>1290000</v>
      </c>
      <c r="M53" s="6" t="inlineStr">
        <is>
          <t>JEFE PLANTA JABONERIA</t>
        </is>
      </c>
    </row>
    <row r="54">
      <c r="A54" s="9" t="n">
        <v>50</v>
      </c>
      <c r="B54" s="10" t="inlineStr">
        <is>
          <t>DIRECCION TECNICO-PRODUCTIVA</t>
        </is>
      </c>
      <c r="C54" s="9" t="inlineStr">
        <is>
          <t>DTP-50</t>
        </is>
      </c>
      <c r="D54" s="10" t="inlineStr">
        <is>
          <t>EXTRACTOR DE AIRE</t>
        </is>
      </c>
      <c r="E54" s="10" t="inlineStr">
        <is>
          <t>EQUIPOS DE CLIMATIZACION Y REFRIGERACION</t>
        </is>
      </c>
      <c r="F54" s="9" t="inlineStr">
        <is>
          <t>SERVICIO</t>
        </is>
      </c>
      <c r="G54" s="10" t="inlineStr">
        <is>
          <t>PLANTA JABONERIA</t>
        </is>
      </c>
      <c r="H54" s="10" t="inlineStr">
        <is>
          <t>Soler &amp; Palau</t>
        </is>
      </c>
      <c r="I54" s="10" t="inlineStr">
        <is>
          <t>HXBR-400 Industrial</t>
        </is>
      </c>
      <c r="J54" s="9" t="inlineStr">
        <is>
          <t>SN-DTP50-8899</t>
        </is>
      </c>
      <c r="K54" s="11" t="n">
        <v>43975</v>
      </c>
      <c r="L54" s="12" t="n">
        <v>1290000</v>
      </c>
      <c r="M54" s="10" t="inlineStr">
        <is>
          <t>JEFE PLANTA JABONERIA</t>
        </is>
      </c>
    </row>
    <row r="55">
      <c r="A55" s="5" t="n">
        <v>51</v>
      </c>
      <c r="B55" s="6" t="inlineStr">
        <is>
          <t>DIRECCION TECNICO-PRODUCTIVA</t>
        </is>
      </c>
      <c r="C55" s="5" t="inlineStr">
        <is>
          <t>DTP-51</t>
        </is>
      </c>
      <c r="D55" s="6" t="inlineStr">
        <is>
          <t>EXTRACTOR DE AIRE</t>
        </is>
      </c>
      <c r="E55" s="6" t="inlineStr">
        <is>
          <t>EQUIPOS DE CLIMATIZACION Y REFRIGERACION</t>
        </is>
      </c>
      <c r="F55" s="5" t="inlineStr">
        <is>
          <t>SERVICIO</t>
        </is>
      </c>
      <c r="G55" s="6" t="inlineStr">
        <is>
          <t>PLANTA JABONERIA</t>
        </is>
      </c>
      <c r="H55" s="6" t="inlineStr">
        <is>
          <t>Soler &amp; Palau</t>
        </is>
      </c>
      <c r="I55" s="6" t="inlineStr">
        <is>
          <t>HXBR-400 Industrial</t>
        </is>
      </c>
      <c r="J55" s="5" t="inlineStr">
        <is>
          <t>SN-DTP51-9036</t>
        </is>
      </c>
      <c r="K55" s="7" t="n">
        <v>43979</v>
      </c>
      <c r="L55" s="8" t="n">
        <v>1290000</v>
      </c>
      <c r="M55" s="6" t="inlineStr">
        <is>
          <t>JEFE PLANTA JABONERIA</t>
        </is>
      </c>
    </row>
    <row r="56">
      <c r="A56" s="9" t="n">
        <v>52</v>
      </c>
      <c r="B56" s="10" t="inlineStr">
        <is>
          <t>DIRECCION TECNICO-PRODUCTIVA</t>
        </is>
      </c>
      <c r="C56" s="9" t="inlineStr">
        <is>
          <t>DTP-52</t>
        </is>
      </c>
      <c r="D56" s="10" t="inlineStr">
        <is>
          <t>1 COMPRESOR 5 TON.</t>
        </is>
      </c>
      <c r="E56" s="10" t="inlineStr">
        <is>
          <t>TECNOLOGIA</t>
        </is>
      </c>
      <c r="F56" s="9" t="inlineStr">
        <is>
          <t>SERVICIO</t>
        </is>
      </c>
      <c r="G56" s="10" t="inlineStr">
        <is>
          <t>PLANTA JABONERIA</t>
        </is>
      </c>
      <c r="H56" s="10" t="inlineStr">
        <is>
          <t>Bitzer</t>
        </is>
      </c>
      <c r="I56" s="10" t="inlineStr">
        <is>
          <t>4VES-10Y (5 TR)</t>
        </is>
      </c>
      <c r="J56" s="9" t="inlineStr">
        <is>
          <t>SN-DTP52-9173</t>
        </is>
      </c>
      <c r="K56" s="11" t="n">
        <v>43970</v>
      </c>
      <c r="L56" s="12" t="n">
        <v>9800000</v>
      </c>
      <c r="M56" s="10" t="inlineStr">
        <is>
          <t>JEFE PLANTA JABONERIA</t>
        </is>
      </c>
    </row>
    <row r="57">
      <c r="A57" s="5" t="n">
        <v>53</v>
      </c>
      <c r="B57" s="6" t="inlineStr">
        <is>
          <t>DIRECCION TECNICO-PRODUCTIVA</t>
        </is>
      </c>
      <c r="C57" s="5" t="inlineStr">
        <is>
          <t>DTP-53</t>
        </is>
      </c>
      <c r="D57" s="6" t="inlineStr">
        <is>
          <t>1 CHILLER PROCESO</t>
        </is>
      </c>
      <c r="E57" s="6" t="inlineStr">
        <is>
          <t>TECNOLOGIA</t>
        </is>
      </c>
      <c r="F57" s="5" t="inlineStr">
        <is>
          <t>SERVICIO</t>
        </is>
      </c>
      <c r="G57" s="6" t="inlineStr">
        <is>
          <t>PLANTA JABONERIA</t>
        </is>
      </c>
      <c r="H57" s="6" t="inlineStr">
        <is>
          <t>Carrier</t>
        </is>
      </c>
      <c r="I57" s="6" t="inlineStr">
        <is>
          <t>AquaSnap 30RB-080</t>
        </is>
      </c>
      <c r="J57" s="5" t="inlineStr">
        <is>
          <t>SN-DTP53-9310</t>
        </is>
      </c>
      <c r="K57" s="7" t="n">
        <v>43975</v>
      </c>
      <c r="L57" s="8" t="n">
        <v>24500000</v>
      </c>
      <c r="M57" s="6" t="inlineStr">
        <is>
          <t>JEFE PLANTA JABONERIA</t>
        </is>
      </c>
    </row>
    <row r="58">
      <c r="A58" s="9" t="n">
        <v>54</v>
      </c>
      <c r="B58" s="10" t="inlineStr">
        <is>
          <t>DIRECCION TECNICO-PRODUCTIVA</t>
        </is>
      </c>
      <c r="C58" s="9" t="inlineStr">
        <is>
          <t>DTP-54</t>
        </is>
      </c>
      <c r="D58" s="10" t="inlineStr">
        <is>
          <t>MESA BURO/ 4 GAVETAS</t>
        </is>
      </c>
      <c r="E58" s="10" t="inlineStr">
        <is>
          <t>MOBILIARIO</t>
        </is>
      </c>
      <c r="F58" s="9" t="inlineStr">
        <is>
          <t>SERVICIO</t>
        </is>
      </c>
      <c r="G58" s="10" t="inlineStr">
        <is>
          <t>PLANTA PERFUMERIA</t>
        </is>
      </c>
      <c r="H58" s="10" t="inlineStr">
        <is>
          <t>Rosen</t>
        </is>
      </c>
      <c r="I58" s="10" t="inlineStr">
        <is>
          <t>Buro Ejecutivo BR-4G120</t>
        </is>
      </c>
      <c r="J58" s="9" t="inlineStr">
        <is>
          <t>SN-DTP54-9447</t>
        </is>
      </c>
      <c r="K58" s="11" t="n">
        <v>44120</v>
      </c>
      <c r="L58" s="12" t="n">
        <v>189900</v>
      </c>
      <c r="M58" s="10" t="inlineStr">
        <is>
          <t>JEFE PLANTA PERFUMERIA</t>
        </is>
      </c>
    </row>
    <row r="59">
      <c r="A59" s="5" t="n">
        <v>55</v>
      </c>
      <c r="B59" s="6" t="inlineStr">
        <is>
          <t>DIRECCION TECNICO-PRODUCTIVA</t>
        </is>
      </c>
      <c r="C59" s="5" t="inlineStr">
        <is>
          <t>DTP-55</t>
        </is>
      </c>
      <c r="D59" s="6" t="inlineStr">
        <is>
          <t>MESA BURO/ 4 GAVETAS</t>
        </is>
      </c>
      <c r="E59" s="6" t="inlineStr">
        <is>
          <t>MOBILIARIO</t>
        </is>
      </c>
      <c r="F59" s="5" t="inlineStr">
        <is>
          <t>SERVICIO</t>
        </is>
      </c>
      <c r="G59" s="6" t="inlineStr">
        <is>
          <t>PLANTA PERFUMERIA</t>
        </is>
      </c>
      <c r="H59" s="6" t="inlineStr">
        <is>
          <t>Rosen</t>
        </is>
      </c>
      <c r="I59" s="6" t="inlineStr">
        <is>
          <t>Buro Ejecutivo BR-4G120</t>
        </is>
      </c>
      <c r="J59" s="5" t="inlineStr">
        <is>
          <t>SN-DTP55-9584</t>
        </is>
      </c>
      <c r="K59" s="7" t="n">
        <v>44110</v>
      </c>
      <c r="L59" s="8" t="n">
        <v>189900</v>
      </c>
      <c r="M59" s="6" t="inlineStr">
        <is>
          <t>JEFE PLANTA PERFUMERIA</t>
        </is>
      </c>
    </row>
    <row r="60">
      <c r="A60" s="9" t="n">
        <v>56</v>
      </c>
      <c r="B60" s="10" t="inlineStr">
        <is>
          <t>DIRECCION TECNICO-PRODUCTIVA</t>
        </is>
      </c>
      <c r="C60" s="9" t="inlineStr">
        <is>
          <t>DTP-56</t>
        </is>
      </c>
      <c r="D60" s="10" t="inlineStr">
        <is>
          <t>SILLA GIRATORIA</t>
        </is>
      </c>
      <c r="E60" s="10" t="inlineStr">
        <is>
          <t>MOBILIARIO</t>
        </is>
      </c>
      <c r="F60" s="9" t="inlineStr">
        <is>
          <t>SERVICIO</t>
        </is>
      </c>
      <c r="G60" s="10" t="inlineStr">
        <is>
          <t>PLANTA PERFUMERIA</t>
        </is>
      </c>
      <c r="H60" s="10" t="inlineStr">
        <is>
          <t>Ergosillas</t>
        </is>
      </c>
      <c r="I60" s="10" t="inlineStr">
        <is>
          <t>Pro Ergo 120</t>
        </is>
      </c>
      <c r="J60" s="9" t="inlineStr">
        <is>
          <t>SN-DTP56-9721</t>
        </is>
      </c>
      <c r="K60" s="11" t="n">
        <v>44115</v>
      </c>
      <c r="L60" s="12" t="n">
        <v>109900</v>
      </c>
      <c r="M60" s="10" t="inlineStr">
        <is>
          <t>JEFE PLANTA PERFUMERIA</t>
        </is>
      </c>
    </row>
    <row r="61">
      <c r="A61" s="5" t="n">
        <v>57</v>
      </c>
      <c r="B61" s="6" t="inlineStr">
        <is>
          <t>DIRECCION TECNICO-PRODUCTIVA</t>
        </is>
      </c>
      <c r="C61" s="5" t="inlineStr">
        <is>
          <t>DTP-57</t>
        </is>
      </c>
      <c r="D61" s="6" t="inlineStr">
        <is>
          <t>SILLA GIRATORIA</t>
        </is>
      </c>
      <c r="E61" s="6" t="inlineStr">
        <is>
          <t>MOBILIARIO</t>
        </is>
      </c>
      <c r="F61" s="5" t="inlineStr">
        <is>
          <t>SERVICIO</t>
        </is>
      </c>
      <c r="G61" s="6" t="inlineStr">
        <is>
          <t>PLANTA PERFUMERIA</t>
        </is>
      </c>
      <c r="H61" s="6" t="inlineStr">
        <is>
          <t>Ergosillas</t>
        </is>
      </c>
      <c r="I61" s="6" t="inlineStr">
        <is>
          <t>Pro Ergo 120</t>
        </is>
      </c>
      <c r="J61" s="5" t="inlineStr">
        <is>
          <t>SN-DTP57-9858</t>
        </is>
      </c>
      <c r="K61" s="7" t="n">
        <v>44120</v>
      </c>
      <c r="L61" s="8" t="n">
        <v>109900</v>
      </c>
      <c r="M61" s="6" t="inlineStr">
        <is>
          <t>JEFE PLANTA PERFUMERIA</t>
        </is>
      </c>
    </row>
    <row r="62">
      <c r="A62" s="9" t="n">
        <v>58</v>
      </c>
      <c r="B62" s="10" t="inlineStr">
        <is>
          <t>DIRECCION TECNICO-PRODUCTIVA</t>
        </is>
      </c>
      <c r="C62" s="9" t="inlineStr">
        <is>
          <t>DTP-58</t>
        </is>
      </c>
      <c r="D62" s="10" t="inlineStr">
        <is>
          <t>VENTILADOR</t>
        </is>
      </c>
      <c r="E62" s="10" t="inlineStr">
        <is>
          <t>EQUIPOS DE CLIMATIZACION Y REFRIGERACION</t>
        </is>
      </c>
      <c r="F62" s="9" t="inlineStr">
        <is>
          <t>SERVICIO</t>
        </is>
      </c>
      <c r="G62" s="10" t="inlineStr">
        <is>
          <t>PLANTA PERFUMERIA</t>
        </is>
      </c>
      <c r="H62" s="10" t="inlineStr">
        <is>
          <t>Recco</t>
        </is>
      </c>
      <c r="I62" s="10" t="inlineStr">
        <is>
          <t>RVP-45PM Pedestal</t>
        </is>
      </c>
      <c r="J62" s="9" t="inlineStr">
        <is>
          <t>SN-DTP58-9995</t>
        </is>
      </c>
      <c r="K62" s="11" t="n">
        <v>44110</v>
      </c>
      <c r="L62" s="12" t="n">
        <v>39990</v>
      </c>
      <c r="M62" s="10" t="inlineStr">
        <is>
          <t>JEFE PLANTA PERFUMERIA</t>
        </is>
      </c>
    </row>
    <row r="63">
      <c r="A63" s="5" t="n">
        <v>59</v>
      </c>
      <c r="B63" s="6" t="inlineStr">
        <is>
          <t>DIRECCION TECNICO-PRODUCTIVA</t>
        </is>
      </c>
      <c r="C63" s="5" t="inlineStr">
        <is>
          <t>DTP-59</t>
        </is>
      </c>
      <c r="D63" s="6" t="inlineStr">
        <is>
          <t>VENTILADOR</t>
        </is>
      </c>
      <c r="E63" s="6" t="inlineStr">
        <is>
          <t>EQUIPOS DE CLIMATIZACION Y REFRIGERACION</t>
        </is>
      </c>
      <c r="F63" s="5" t="inlineStr">
        <is>
          <t>SERVICIO</t>
        </is>
      </c>
      <c r="G63" s="6" t="inlineStr">
        <is>
          <t>PLANTA PERFUMERIA</t>
        </is>
      </c>
      <c r="H63" s="6" t="inlineStr">
        <is>
          <t>Recco</t>
        </is>
      </c>
      <c r="I63" s="6" t="inlineStr">
        <is>
          <t>RVP-45PM Pedestal</t>
        </is>
      </c>
      <c r="J63" s="5" t="inlineStr">
        <is>
          <t>SN-DTP59-1132</t>
        </is>
      </c>
      <c r="K63" s="7" t="n">
        <v>44115</v>
      </c>
      <c r="L63" s="8" t="n">
        <v>39990</v>
      </c>
      <c r="M63" s="6" t="inlineStr">
        <is>
          <t>JEFE PLANTA PERFUMERIA</t>
        </is>
      </c>
    </row>
    <row r="64">
      <c r="A64" s="9" t="n">
        <v>60</v>
      </c>
      <c r="B64" s="10" t="inlineStr">
        <is>
          <t>DIRECCION TECNICO-PRODUCTIVA</t>
        </is>
      </c>
      <c r="C64" s="9" t="inlineStr">
        <is>
          <t>DTP-60</t>
        </is>
      </c>
      <c r="D64" s="10" t="inlineStr">
        <is>
          <t>PC ESCRITORIO</t>
        </is>
      </c>
      <c r="E64" s="10" t="inlineStr">
        <is>
          <t>INFORMATICA</t>
        </is>
      </c>
      <c r="F64" s="9" t="inlineStr">
        <is>
          <t>SERVICIO</t>
        </is>
      </c>
      <c r="G64" s="10" t="inlineStr">
        <is>
          <t>PLANTA PERFUMERIA</t>
        </is>
      </c>
      <c r="H64" s="10" t="inlineStr">
        <is>
          <t>HP</t>
        </is>
      </c>
      <c r="I64" s="10" t="inlineStr">
        <is>
          <t>ProDesk 400 G9 SFF</t>
        </is>
      </c>
      <c r="J64" s="9" t="inlineStr">
        <is>
          <t>SN-DTP60-1269</t>
        </is>
      </c>
      <c r="K64" s="11" t="n">
        <v>44120</v>
      </c>
      <c r="L64" s="12" t="n">
        <v>549900</v>
      </c>
      <c r="M64" s="10" t="inlineStr">
        <is>
          <t>JEFE PLANTA PERFUMERIA</t>
        </is>
      </c>
    </row>
    <row r="65">
      <c r="A65" s="5" t="n">
        <v>61</v>
      </c>
      <c r="B65" s="6" t="inlineStr">
        <is>
          <t>DIRECCION TECNICO-PRODUCTIVA</t>
        </is>
      </c>
      <c r="C65" s="5" t="inlineStr">
        <is>
          <t>DTP-61</t>
        </is>
      </c>
      <c r="D65" s="6" t="inlineStr">
        <is>
          <t>PC ESCRITORIO</t>
        </is>
      </c>
      <c r="E65" s="6" t="inlineStr">
        <is>
          <t>INFORMATICA</t>
        </is>
      </c>
      <c r="F65" s="5" t="inlineStr">
        <is>
          <t>SERVICIO</t>
        </is>
      </c>
      <c r="G65" s="6" t="inlineStr">
        <is>
          <t>PLANTA PERFUMERIA</t>
        </is>
      </c>
      <c r="H65" s="6" t="inlineStr">
        <is>
          <t>HP</t>
        </is>
      </c>
      <c r="I65" s="6" t="inlineStr">
        <is>
          <t>ProDesk 400 G9 SFF</t>
        </is>
      </c>
      <c r="J65" s="5" t="inlineStr">
        <is>
          <t>SN-DTP61-1406</t>
        </is>
      </c>
      <c r="K65" s="7" t="n">
        <v>44110</v>
      </c>
      <c r="L65" s="8" t="n">
        <v>549900</v>
      </c>
      <c r="M65" s="6" t="inlineStr">
        <is>
          <t>JEFE PLANTA PERFUMERIA</t>
        </is>
      </c>
    </row>
    <row r="66">
      <c r="A66" s="9" t="n">
        <v>62</v>
      </c>
      <c r="B66" s="10" t="inlineStr">
        <is>
          <t>DIRECCION TECNICO-PRODUCTIVA</t>
        </is>
      </c>
      <c r="C66" s="9" t="inlineStr">
        <is>
          <t>DTP-62</t>
        </is>
      </c>
      <c r="D66" s="10" t="inlineStr">
        <is>
          <t>1 IMPRESORA</t>
        </is>
      </c>
      <c r="E66" s="10" t="inlineStr">
        <is>
          <t>INFORMATICA</t>
        </is>
      </c>
      <c r="F66" s="9" t="inlineStr">
        <is>
          <t>SERVICIO</t>
        </is>
      </c>
      <c r="G66" s="10" t="inlineStr">
        <is>
          <t>PLANTA PERFUMERIA</t>
        </is>
      </c>
      <c r="H66" s="10" t="inlineStr">
        <is>
          <t>Epson</t>
        </is>
      </c>
      <c r="I66" s="10" t="inlineStr">
        <is>
          <t>EcoTank L3250</t>
        </is>
      </c>
      <c r="J66" s="9" t="inlineStr">
        <is>
          <t>SN-DTP62-1543</t>
        </is>
      </c>
      <c r="K66" s="11" t="n">
        <v>44115</v>
      </c>
      <c r="L66" s="12" t="n">
        <v>179900</v>
      </c>
      <c r="M66" s="10" t="inlineStr">
        <is>
          <t>JEFE PLANTA PERFUMERIA</t>
        </is>
      </c>
    </row>
    <row r="67">
      <c r="A67" s="5" t="n">
        <v>63</v>
      </c>
      <c r="B67" s="6" t="inlineStr">
        <is>
          <t>DIRECCION TECNICO-PRODUCTIVA</t>
        </is>
      </c>
      <c r="C67" s="5" t="inlineStr">
        <is>
          <t>DTP-63</t>
        </is>
      </c>
      <c r="D67" s="6" t="inlineStr">
        <is>
          <t>1 LINEA DE PASTA DENTAL</t>
        </is>
      </c>
      <c r="E67" s="6" t="inlineStr">
        <is>
          <t>TECNOLOGIA</t>
        </is>
      </c>
      <c r="F67" s="5" t="inlineStr">
        <is>
          <t>SERVICIO</t>
        </is>
      </c>
      <c r="G67" s="6" t="inlineStr">
        <is>
          <t>PLANTA PERFUMERIA</t>
        </is>
      </c>
      <c r="H67" s="6" t="inlineStr">
        <is>
          <t>IWK</t>
        </is>
      </c>
      <c r="I67" s="6" t="inlineStr">
        <is>
          <t>TFS 20 Tubos/min</t>
        </is>
      </c>
      <c r="J67" s="5" t="inlineStr">
        <is>
          <t>SN-DTP63-1680</t>
        </is>
      </c>
      <c r="K67" s="7" t="n">
        <v>44120</v>
      </c>
      <c r="L67" s="8" t="n">
        <v>96500000</v>
      </c>
      <c r="M67" s="6" t="inlineStr">
        <is>
          <t>JEFE PLANTA PERFUMERIA</t>
        </is>
      </c>
    </row>
    <row r="68">
      <c r="A68" s="9" t="n">
        <v>64</v>
      </c>
      <c r="B68" s="10" t="inlineStr">
        <is>
          <t>DIRECCION TECNICO-PRODUCTIVA</t>
        </is>
      </c>
      <c r="C68" s="9" t="inlineStr">
        <is>
          <t>DTP-64</t>
        </is>
      </c>
      <c r="D68" s="10" t="inlineStr">
        <is>
          <t>1 LINEA DE DESODORANTE</t>
        </is>
      </c>
      <c r="E68" s="10" t="inlineStr">
        <is>
          <t>TECNOLOGIA</t>
        </is>
      </c>
      <c r="F68" s="9" t="inlineStr">
        <is>
          <t>SERVICIO</t>
        </is>
      </c>
      <c r="G68" s="10" t="inlineStr">
        <is>
          <t>PLANTA PERFUMERIA</t>
        </is>
      </c>
      <c r="H68" s="10" t="inlineStr">
        <is>
          <t>Marchesini</t>
        </is>
      </c>
      <c r="I68" s="10" t="inlineStr">
        <is>
          <t>ML-45 Roll-On</t>
        </is>
      </c>
      <c r="J68" s="9" t="inlineStr">
        <is>
          <t>SN-DTP64-1817</t>
        </is>
      </c>
      <c r="K68" s="11" t="n">
        <v>44110</v>
      </c>
      <c r="L68" s="12" t="n">
        <v>78400000</v>
      </c>
      <c r="M68" s="10" t="inlineStr">
        <is>
          <t>JEFE PLANTA PERFUMERIA</t>
        </is>
      </c>
    </row>
    <row r="69">
      <c r="A69" s="5" t="n">
        <v>65</v>
      </c>
      <c r="B69" s="6" t="inlineStr">
        <is>
          <t>DIRECCION TECNICO-PRODUCTIVA</t>
        </is>
      </c>
      <c r="C69" s="5" t="inlineStr">
        <is>
          <t>DTP-65</t>
        </is>
      </c>
      <c r="D69" s="6" t="inlineStr">
        <is>
          <t>1 LINEA DE PERFUMES</t>
        </is>
      </c>
      <c r="E69" s="6" t="inlineStr">
        <is>
          <t>TECNOLOGIA</t>
        </is>
      </c>
      <c r="F69" s="5" t="inlineStr">
        <is>
          <t>SERVICIO</t>
        </is>
      </c>
      <c r="G69" s="6" t="inlineStr">
        <is>
          <t>PLANTA PERFUMERIA</t>
        </is>
      </c>
      <c r="H69" s="6" t="inlineStr">
        <is>
          <t>Marchesini</t>
        </is>
      </c>
      <c r="I69" s="6" t="inlineStr">
        <is>
          <t>Integra 320</t>
        </is>
      </c>
      <c r="J69" s="5" t="inlineStr">
        <is>
          <t>SN-DTP65-1954</t>
        </is>
      </c>
      <c r="K69" s="7" t="n">
        <v>44115</v>
      </c>
      <c r="L69" s="8" t="n">
        <v>112000000</v>
      </c>
      <c r="M69" s="6" t="inlineStr">
        <is>
          <t>JEFE PLANTA PERFUMERIA</t>
        </is>
      </c>
    </row>
    <row r="70">
      <c r="A70" s="9" t="n">
        <v>66</v>
      </c>
      <c r="B70" s="10" t="inlineStr">
        <is>
          <t>DIRECCION TECNICO-PRODUCTIVA</t>
        </is>
      </c>
      <c r="C70" s="9" t="inlineStr">
        <is>
          <t>DTP-66</t>
        </is>
      </c>
      <c r="D70" s="10" t="inlineStr">
        <is>
          <t>1 LINEA DE CHAMPU</t>
        </is>
      </c>
      <c r="E70" s="10" t="inlineStr">
        <is>
          <t>TECNOLOGIA</t>
        </is>
      </c>
      <c r="F70" s="9" t="inlineStr">
        <is>
          <t>SERVICIO</t>
        </is>
      </c>
      <c r="G70" s="10" t="inlineStr">
        <is>
          <t>PLANTA PERFUMERIA</t>
        </is>
      </c>
      <c r="H70" s="10" t="inlineStr">
        <is>
          <t>Krones</t>
        </is>
      </c>
      <c r="I70" s="10" t="inlineStr">
        <is>
          <t>Ergobloc L-8</t>
        </is>
      </c>
      <c r="J70" s="9" t="inlineStr">
        <is>
          <t>SN-DTP66-2091</t>
        </is>
      </c>
      <c r="K70" s="11" t="n">
        <v>44120</v>
      </c>
      <c r="L70" s="12" t="n">
        <v>88000000</v>
      </c>
      <c r="M70" s="10" t="inlineStr">
        <is>
          <t>JEFE PLANTA PERFUMERIA</t>
        </is>
      </c>
    </row>
    <row r="71">
      <c r="A71" s="5" t="n">
        <v>67</v>
      </c>
      <c r="B71" s="6" t="inlineStr">
        <is>
          <t>DIRECCION TECNICO-PRODUCTIVA</t>
        </is>
      </c>
      <c r="C71" s="5" t="inlineStr">
        <is>
          <t>DTP-67</t>
        </is>
      </c>
      <c r="D71" s="6" t="inlineStr">
        <is>
          <t>1 LINEA DE ACONDICIONADOR</t>
        </is>
      </c>
      <c r="E71" s="6" t="inlineStr">
        <is>
          <t>TECNOLOGIA</t>
        </is>
      </c>
      <c r="F71" s="5" t="inlineStr">
        <is>
          <t>SERVICIO</t>
        </is>
      </c>
      <c r="G71" s="6" t="inlineStr">
        <is>
          <t>PLANTA PERFUMERIA</t>
        </is>
      </c>
      <c r="H71" s="6" t="inlineStr">
        <is>
          <t>Krones</t>
        </is>
      </c>
      <c r="I71" s="6" t="inlineStr">
        <is>
          <t>Ergobloc L-6</t>
        </is>
      </c>
      <c r="J71" s="5" t="inlineStr">
        <is>
          <t>SN-DTP67-2228</t>
        </is>
      </c>
      <c r="K71" s="7" t="n">
        <v>44110</v>
      </c>
      <c r="L71" s="8" t="n">
        <v>88000000</v>
      </c>
      <c r="M71" s="6" t="inlineStr">
        <is>
          <t>JEFE PLANTA PERFUMERIA</t>
        </is>
      </c>
    </row>
    <row r="72">
      <c r="A72" s="9" t="n">
        <v>68</v>
      </c>
      <c r="B72" s="10" t="inlineStr">
        <is>
          <t>DIRECCION TECNICO-PRODUCTIVA</t>
        </is>
      </c>
      <c r="C72" s="9" t="inlineStr">
        <is>
          <t>DTP-68</t>
        </is>
      </c>
      <c r="D72" s="10" t="inlineStr">
        <is>
          <t>EXTRACTOR DE AIRE</t>
        </is>
      </c>
      <c r="E72" s="10" t="inlineStr">
        <is>
          <t>EQUIPOS DE CLIMATIZACION Y REFRIGERACION</t>
        </is>
      </c>
      <c r="F72" s="9" t="inlineStr">
        <is>
          <t>SERVICIO</t>
        </is>
      </c>
      <c r="G72" s="10" t="inlineStr">
        <is>
          <t>PLANTA PERFUMERIA</t>
        </is>
      </c>
      <c r="H72" s="10" t="inlineStr">
        <is>
          <t>Soler &amp; Palau</t>
        </is>
      </c>
      <c r="I72" s="10" t="inlineStr">
        <is>
          <t>HXBR-400 Industrial</t>
        </is>
      </c>
      <c r="J72" s="9" t="inlineStr">
        <is>
          <t>SN-DTP68-2365</t>
        </is>
      </c>
      <c r="K72" s="11" t="n">
        <v>44115</v>
      </c>
      <c r="L72" s="12" t="n">
        <v>1290000</v>
      </c>
      <c r="M72" s="10" t="inlineStr">
        <is>
          <t>JEFE PLANTA PERFUMERIA</t>
        </is>
      </c>
    </row>
    <row r="73">
      <c r="A73" s="5" t="n">
        <v>69</v>
      </c>
      <c r="B73" s="6" t="inlineStr">
        <is>
          <t>DIRECCION TECNICO-PRODUCTIVA</t>
        </is>
      </c>
      <c r="C73" s="5" t="inlineStr">
        <is>
          <t>DTP-69</t>
        </is>
      </c>
      <c r="D73" s="6" t="inlineStr">
        <is>
          <t>EXTRACTOR DE AIRE</t>
        </is>
      </c>
      <c r="E73" s="6" t="inlineStr">
        <is>
          <t>EQUIPOS DE CLIMATIZACION Y REFRIGERACION</t>
        </is>
      </c>
      <c r="F73" s="5" t="inlineStr">
        <is>
          <t>SERVICIO</t>
        </is>
      </c>
      <c r="G73" s="6" t="inlineStr">
        <is>
          <t>PLANTA PERFUMERIA</t>
        </is>
      </c>
      <c r="H73" s="6" t="inlineStr">
        <is>
          <t>Soler &amp; Palau</t>
        </is>
      </c>
      <c r="I73" s="6" t="inlineStr">
        <is>
          <t>HXBR-400 Industrial</t>
        </is>
      </c>
      <c r="J73" s="5" t="inlineStr">
        <is>
          <t>SN-DTP69-2502</t>
        </is>
      </c>
      <c r="K73" s="7" t="n">
        <v>44120</v>
      </c>
      <c r="L73" s="8" t="n">
        <v>1290000</v>
      </c>
      <c r="M73" s="6" t="inlineStr">
        <is>
          <t>JEFE PLANTA PERFUMERIA</t>
        </is>
      </c>
    </row>
    <row r="74">
      <c r="A74" s="9" t="n">
        <v>70</v>
      </c>
      <c r="B74" s="10" t="inlineStr">
        <is>
          <t>DIRECCION TECNICO-PRODUCTIVA</t>
        </is>
      </c>
      <c r="C74" s="9" t="inlineStr">
        <is>
          <t>DTP-70</t>
        </is>
      </c>
      <c r="D74" s="10" t="inlineStr">
        <is>
          <t>EXTRACTOR DE AIRE</t>
        </is>
      </c>
      <c r="E74" s="10" t="inlineStr">
        <is>
          <t>EQUIPOS DE CLIMATIZACION Y REFRIGERACION</t>
        </is>
      </c>
      <c r="F74" s="13" t="inlineStr">
        <is>
          <t>MTTO</t>
        </is>
      </c>
      <c r="G74" s="10" t="inlineStr">
        <is>
          <t>PLANTA PERFUMERIA</t>
        </is>
      </c>
      <c r="H74" s="10" t="inlineStr">
        <is>
          <t>Soler &amp; Palau</t>
        </is>
      </c>
      <c r="I74" s="10" t="inlineStr">
        <is>
          <t>HXBR-400 Industrial</t>
        </is>
      </c>
      <c r="J74" s="9" t="inlineStr">
        <is>
          <t>SN-DTP70-2639</t>
        </is>
      </c>
      <c r="K74" s="11" t="n">
        <v>44110</v>
      </c>
      <c r="L74" s="12" t="n">
        <v>1290000</v>
      </c>
      <c r="M74" s="10" t="inlineStr">
        <is>
          <t>JEFE PLANTA PERFUMERIA</t>
        </is>
      </c>
    </row>
    <row r="75">
      <c r="A75" s="5" t="n">
        <v>71</v>
      </c>
      <c r="B75" s="6" t="inlineStr">
        <is>
          <t>DIRECCION TECNICO-PRODUCTIVA</t>
        </is>
      </c>
      <c r="C75" s="5" t="inlineStr">
        <is>
          <t>DTP-71</t>
        </is>
      </c>
      <c r="D75" s="6" t="inlineStr">
        <is>
          <t>EXTRACTOR DE AIRE</t>
        </is>
      </c>
      <c r="E75" s="6" t="inlineStr">
        <is>
          <t>EQUIPOS DE CLIMATIZACION Y REFRIGERACION</t>
        </is>
      </c>
      <c r="F75" s="13" t="inlineStr">
        <is>
          <t>MTTO</t>
        </is>
      </c>
      <c r="G75" s="6" t="inlineStr">
        <is>
          <t>PLANTA PERFUMERIA</t>
        </is>
      </c>
      <c r="H75" s="6" t="inlineStr">
        <is>
          <t>Soler &amp; Palau</t>
        </is>
      </c>
      <c r="I75" s="6" t="inlineStr">
        <is>
          <t>HXBR-400 Industrial</t>
        </is>
      </c>
      <c r="J75" s="5" t="inlineStr">
        <is>
          <t>SN-DTP71-2776</t>
        </is>
      </c>
      <c r="K75" s="7" t="n">
        <v>44115</v>
      </c>
      <c r="L75" s="8" t="n">
        <v>1290000</v>
      </c>
      <c r="M75" s="6" t="inlineStr">
        <is>
          <t>JEFE PLANTA PERFUMERIA</t>
        </is>
      </c>
    </row>
    <row r="76">
      <c r="A76" s="9" t="n">
        <v>72</v>
      </c>
      <c r="B76" s="10" t="inlineStr">
        <is>
          <t>DIRECCION TECNICO-PRODUCTIVA</t>
        </is>
      </c>
      <c r="C76" s="9" t="inlineStr">
        <is>
          <t>DTP-72</t>
        </is>
      </c>
      <c r="D76" s="10" t="inlineStr">
        <is>
          <t>EXTRACTOR DE AIRE</t>
        </is>
      </c>
      <c r="E76" s="10" t="inlineStr">
        <is>
          <t>EQUIPOS DE CLIMATIZACION Y REFRIGERACION</t>
        </is>
      </c>
      <c r="F76" s="9" t="inlineStr">
        <is>
          <t>SERVICIO</t>
        </is>
      </c>
      <c r="G76" s="10" t="inlineStr">
        <is>
          <t>PLANTA PERFUMERIA</t>
        </is>
      </c>
      <c r="H76" s="10" t="inlineStr">
        <is>
          <t>Soler &amp; Palau</t>
        </is>
      </c>
      <c r="I76" s="10" t="inlineStr">
        <is>
          <t>HXBR-400 Industrial</t>
        </is>
      </c>
      <c r="J76" s="9" t="inlineStr">
        <is>
          <t>SN-DTP72-2913</t>
        </is>
      </c>
      <c r="K76" s="11" t="n">
        <v>44120</v>
      </c>
      <c r="L76" s="12" t="n">
        <v>1290000</v>
      </c>
      <c r="M76" s="10" t="inlineStr">
        <is>
          <t>JEFE PLANTA PERFUMERIA</t>
        </is>
      </c>
    </row>
    <row r="77">
      <c r="A77" s="5" t="n">
        <v>73</v>
      </c>
      <c r="B77" s="6" t="inlineStr">
        <is>
          <t>DIRECCION TECNICO-PRODUCTIVA</t>
        </is>
      </c>
      <c r="C77" s="5" t="inlineStr">
        <is>
          <t>DTP-73</t>
        </is>
      </c>
      <c r="D77" s="6" t="inlineStr">
        <is>
          <t>EXTRACTOR DE AIRE</t>
        </is>
      </c>
      <c r="E77" s="6" t="inlineStr">
        <is>
          <t>EQUIPOS DE CLIMATIZACION Y REFRIGERACION</t>
        </is>
      </c>
      <c r="F77" s="5" t="inlineStr">
        <is>
          <t>SERVICIO</t>
        </is>
      </c>
      <c r="G77" s="6" t="inlineStr">
        <is>
          <t>PLANTA PERFUMERIA</t>
        </is>
      </c>
      <c r="H77" s="6" t="inlineStr">
        <is>
          <t>Soler &amp; Palau</t>
        </is>
      </c>
      <c r="I77" s="6" t="inlineStr">
        <is>
          <t>HXBR-400 Industrial</t>
        </is>
      </c>
      <c r="J77" s="5" t="inlineStr">
        <is>
          <t>SN-DTP73-3050</t>
        </is>
      </c>
      <c r="K77" s="7" t="n">
        <v>44110</v>
      </c>
      <c r="L77" s="8" t="n">
        <v>1290000</v>
      </c>
      <c r="M77" s="6" t="inlineStr">
        <is>
          <t>JEFE PLANTA PERFUMERIA</t>
        </is>
      </c>
    </row>
    <row r="78">
      <c r="A78" s="9" t="n">
        <v>74</v>
      </c>
      <c r="B78" s="10" t="inlineStr">
        <is>
          <t>DIRECCION TECNICO-PRODUCTIVA</t>
        </is>
      </c>
      <c r="C78" s="9" t="inlineStr">
        <is>
          <t>DTP-74</t>
        </is>
      </c>
      <c r="D78" s="10" t="inlineStr">
        <is>
          <t>EXTRACTOR DE AIRE</t>
        </is>
      </c>
      <c r="E78" s="10" t="inlineStr">
        <is>
          <t>EQUIPOS DE CLIMATIZACION Y REFRIGERACION</t>
        </is>
      </c>
      <c r="F78" s="9" t="inlineStr">
        <is>
          <t>SERVICIO</t>
        </is>
      </c>
      <c r="G78" s="10" t="inlineStr">
        <is>
          <t>PLANTA PERFUMERIA</t>
        </is>
      </c>
      <c r="H78" s="10" t="inlineStr">
        <is>
          <t>Soler &amp; Palau</t>
        </is>
      </c>
      <c r="I78" s="10" t="inlineStr">
        <is>
          <t>HXBR-400 Industrial</t>
        </is>
      </c>
      <c r="J78" s="9" t="inlineStr">
        <is>
          <t>SN-DTP74-3187</t>
        </is>
      </c>
      <c r="K78" s="11" t="n">
        <v>44115</v>
      </c>
      <c r="L78" s="12" t="n">
        <v>1290000</v>
      </c>
      <c r="M78" s="10" t="inlineStr">
        <is>
          <t>JEFE PLANTA PERFUMERIA</t>
        </is>
      </c>
    </row>
    <row r="79">
      <c r="A79" s="5" t="n">
        <v>75</v>
      </c>
      <c r="B79" s="6" t="inlineStr">
        <is>
          <t>DIRECCION TECNICO-PRODUCTIVA</t>
        </is>
      </c>
      <c r="C79" s="5" t="inlineStr">
        <is>
          <t>DTP-75</t>
        </is>
      </c>
      <c r="D79" s="6" t="inlineStr">
        <is>
          <t>EXTRACTOR DE AIRE</t>
        </is>
      </c>
      <c r="E79" s="6" t="inlineStr">
        <is>
          <t>EQUIPOS DE CLIMATIZACION Y REFRIGERACION</t>
        </is>
      </c>
      <c r="F79" s="5" t="inlineStr">
        <is>
          <t>SERVICIO</t>
        </is>
      </c>
      <c r="G79" s="6" t="inlineStr">
        <is>
          <t>PLANTA PERFUMERIA</t>
        </is>
      </c>
      <c r="H79" s="6" t="inlineStr">
        <is>
          <t>Soler &amp; Palau</t>
        </is>
      </c>
      <c r="I79" s="6" t="inlineStr">
        <is>
          <t>HXBR-400 Industrial</t>
        </is>
      </c>
      <c r="J79" s="5" t="inlineStr">
        <is>
          <t>SN-DTP75-3324</t>
        </is>
      </c>
      <c r="K79" s="7" t="n">
        <v>44120</v>
      </c>
      <c r="L79" s="8" t="n">
        <v>1290000</v>
      </c>
      <c r="M79" s="6" t="inlineStr">
        <is>
          <t>JEFE PLANTA PERFUMERIA</t>
        </is>
      </c>
    </row>
    <row r="80">
      <c r="A80" s="9" t="n">
        <v>76</v>
      </c>
      <c r="B80" s="10" t="inlineStr">
        <is>
          <t>DIRECCION TECNICO-PRODUCTIVA</t>
        </is>
      </c>
      <c r="C80" s="9" t="inlineStr">
        <is>
          <t>DTP-76</t>
        </is>
      </c>
      <c r="D80" s="10" t="inlineStr">
        <is>
          <t>1 COMPRESOR 5 TON.</t>
        </is>
      </c>
      <c r="E80" s="10" t="inlineStr">
        <is>
          <t>TECNOLOGIA</t>
        </is>
      </c>
      <c r="F80" s="14" t="inlineStr">
        <is>
          <t>BAJA</t>
        </is>
      </c>
      <c r="G80" s="10" t="inlineStr">
        <is>
          <t>PLANTA PERFUMERIA</t>
        </is>
      </c>
      <c r="H80" s="10" t="inlineStr">
        <is>
          <t>Bitzer</t>
        </is>
      </c>
      <c r="I80" s="10" t="inlineStr">
        <is>
          <t>4VES-10Y (5 TR)</t>
        </is>
      </c>
      <c r="J80" s="9" t="inlineStr">
        <is>
          <t>SN-DTP76-3461</t>
        </is>
      </c>
      <c r="K80" s="11" t="n">
        <v>44110</v>
      </c>
      <c r="L80" s="12" t="n">
        <v>9800000</v>
      </c>
      <c r="M80" s="10" t="inlineStr">
        <is>
          <t>JEFE PLANTA PERFUMERIA</t>
        </is>
      </c>
    </row>
    <row r="81">
      <c r="A81" s="5" t="n">
        <v>77</v>
      </c>
      <c r="B81" s="6" t="inlineStr">
        <is>
          <t>DIRECCION TECNICO-PRODUCTIVA</t>
        </is>
      </c>
      <c r="C81" s="5" t="inlineStr">
        <is>
          <t>DTP-77</t>
        </is>
      </c>
      <c r="D81" s="6" t="inlineStr">
        <is>
          <t>1 CHILLER PROCESO</t>
        </is>
      </c>
      <c r="E81" s="6" t="inlineStr">
        <is>
          <t>TECNOLOGIA</t>
        </is>
      </c>
      <c r="F81" s="13" t="inlineStr">
        <is>
          <t>MTTO</t>
        </is>
      </c>
      <c r="G81" s="6" t="inlineStr">
        <is>
          <t>PLANTA PERFUMERIA</t>
        </is>
      </c>
      <c r="H81" s="6" t="inlineStr">
        <is>
          <t>Carrier</t>
        </is>
      </c>
      <c r="I81" s="6" t="inlineStr">
        <is>
          <t>AquaSnap 30RB-080</t>
        </is>
      </c>
      <c r="J81" s="5" t="inlineStr">
        <is>
          <t>SN-DTP77-3598</t>
        </is>
      </c>
      <c r="K81" s="7" t="n">
        <v>44115</v>
      </c>
      <c r="L81" s="8" t="n">
        <v>24500000</v>
      </c>
      <c r="M81" s="6" t="inlineStr">
        <is>
          <t>JEFE PLANTA PERFUMERIA</t>
        </is>
      </c>
    </row>
    <row r="82" ht="22" customHeight="1">
      <c r="A82" s="15" t="inlineStr">
        <is>
          <t>TOTAL</t>
        </is>
      </c>
      <c r="B82" s="16" t="n"/>
      <c r="C82" s="16" t="n"/>
      <c r="D82" s="17">
        <f>COUNTA(C5:C81)&amp;" activos registrados"</f>
        <v/>
      </c>
      <c r="E82" s="16" t="n"/>
      <c r="F82" s="16" t="n"/>
      <c r="G82" s="16" t="n"/>
      <c r="H82" s="16" t="n"/>
      <c r="I82" s="16" t="n"/>
      <c r="J82" s="16" t="n"/>
      <c r="K82" s="16" t="n"/>
      <c r="L82" s="18">
        <f>SUM(L5:L81)</f>
        <v/>
      </c>
      <c r="M82" s="16" t="n"/>
    </row>
  </sheetData>
  <autoFilter ref="A4:M81"/>
  <mergeCells count="2">
    <mergeCell ref="A2:M2"/>
    <mergeCell ref="A1:M1"/>
  </mergeCells>
  <dataValidations count="4">
    <dataValidation sqref="E5:E81" showDropDown="0" showInputMessage="0" showErrorMessage="0" allowBlank="1" errorTitle="Valor no permitido" error="Valor fuera del catalogo vigente." type="list">
      <formula1>=Listas!$A$2:$A$7</formula1>
    </dataValidation>
    <dataValidation sqref="F5:F81" showDropDown="0" showInputMessage="0" showErrorMessage="0" allowBlank="1" errorTitle="Valor no permitido" error="Valor fuera del catalogo vigente." type="list">
      <formula1>=Listas!$B$2:$B$4</formula1>
    </dataValidation>
    <dataValidation sqref="B5:B81" showDropDown="0" showInputMessage="0" showErrorMessage="0" allowBlank="1" errorTitle="Valor no permitido" error="Valor fuera del catalogo vigente." type="list">
      <formula1>=Listas!$C$2:$C$6</formula1>
    </dataValidation>
    <dataValidation sqref="G5:G81" showDropDown="0" showInputMessage="0" showErrorMessage="0" allowBlank="1" errorTitle="Valor no permitido" error="Valor fuera del catalogo vigente." type="list">
      <formula1>=Listas!$D$2:$D$6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9" t="inlineStr">
        <is>
          <t>CATEGORIA</t>
        </is>
      </c>
      <c r="B1" s="19" t="inlineStr">
        <is>
          <t>ESTADO</t>
        </is>
      </c>
      <c r="C1" s="19" t="inlineStr">
        <is>
          <t>DIRECCION</t>
        </is>
      </c>
      <c r="D1" s="19" t="inlineStr">
        <is>
          <t>AREA</t>
        </is>
      </c>
    </row>
    <row r="2">
      <c r="A2" s="20" t="inlineStr">
        <is>
          <t>MOBILIARIO</t>
        </is>
      </c>
      <c r="B2" s="20" t="inlineStr">
        <is>
          <t>SERVICIO</t>
        </is>
      </c>
      <c r="C2" s="20" t="inlineStr">
        <is>
          <t>DIRECCION GENERAL</t>
        </is>
      </c>
      <c r="D2" s="20" t="inlineStr">
        <is>
          <t>OFICINA DIRECTOR TECN.// PRODUCT.</t>
        </is>
      </c>
    </row>
    <row r="3">
      <c r="A3" s="20" t="inlineStr">
        <is>
          <t>INFORMATICA</t>
        </is>
      </c>
      <c r="B3" s="20" t="inlineStr">
        <is>
          <t>MTTO</t>
        </is>
      </c>
      <c r="C3" s="20" t="inlineStr">
        <is>
          <t>DIRECCION TECNICO-PRODUCTIVA</t>
        </is>
      </c>
      <c r="D3" s="20" t="inlineStr">
        <is>
          <t>DEPARTAMENTO TECNICO</t>
        </is>
      </c>
    </row>
    <row r="4">
      <c r="A4" s="20" t="inlineStr">
        <is>
          <t>EQUIPOS DE CLIMATIZACION Y REFRIGERACION</t>
        </is>
      </c>
      <c r="B4" s="20" t="inlineStr">
        <is>
          <t>BAJA</t>
        </is>
      </c>
      <c r="C4" s="20" t="inlineStr">
        <is>
          <t>DIRECCION COMERCIAL</t>
        </is>
      </c>
      <c r="D4" s="20" t="inlineStr">
        <is>
          <t>DEPARTAMENTO PRODUCC.</t>
        </is>
      </c>
    </row>
    <row r="5">
      <c r="A5" s="20" t="inlineStr">
        <is>
          <t>ELECTRODOMESTICOS</t>
        </is>
      </c>
      <c r="C5" s="20" t="inlineStr">
        <is>
          <t>DIRECCION ECONOMIA</t>
        </is>
      </c>
      <c r="D5" s="20" t="inlineStr">
        <is>
          <t>PLANTA JABONERIA</t>
        </is>
      </c>
    </row>
    <row r="6">
      <c r="A6" s="20" t="inlineStr">
        <is>
          <t>TECNOLOGIA</t>
        </is>
      </c>
      <c r="C6" s="20" t="inlineStr">
        <is>
          <t>DIRECCION LOGISTICA</t>
        </is>
      </c>
      <c r="D6" s="20" t="inlineStr">
        <is>
          <t>PLANTA PERFUMERIA</t>
        </is>
      </c>
    </row>
    <row r="7">
      <c r="A7" s="20" t="inlineStr">
        <is>
          <t>TRANSPORTE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13" customWidth="1" min="4" max="4"/>
  </cols>
  <sheetData>
    <row r="1" ht="30" customHeight="1">
      <c r="A1" s="21" t="inlineStr">
        <is>
          <t>Resumen del registro</t>
        </is>
      </c>
    </row>
    <row r="2" ht="8" customHeight="1"/>
    <row r="3" ht="22" customHeight="1">
      <c r="A3" s="22" t="inlineStr">
        <is>
          <t>Por área</t>
        </is>
      </c>
    </row>
    <row r="4">
      <c r="A4" s="23" t="inlineStr">
        <is>
          <t>Área</t>
        </is>
      </c>
      <c r="B4" s="24" t="inlineStr">
        <is>
          <t>Activos</t>
        </is>
      </c>
      <c r="C4" s="24" t="inlineStr">
        <is>
          <t>Valor total</t>
        </is>
      </c>
      <c r="D4" s="24" t="inlineStr">
        <is>
          <t>% del valor</t>
        </is>
      </c>
    </row>
    <row r="5">
      <c r="A5" s="10" t="inlineStr">
        <is>
          <t>OFICINA DIRECTOR TECN.// PRODUCT.</t>
        </is>
      </c>
      <c r="B5" s="9">
        <f>COUNTIF('REGISTRO DE ACTIVOS NUEVOS'!$G$5:$G$81,$A5)</f>
        <v/>
      </c>
      <c r="C5" s="12">
        <f>SUMIF('REGISTRO DE ACTIVOS NUEVOS'!$G$5:$G$81,$A5,'REGISTRO DE ACTIVOS NUEVOS'!$L$5:$L$81)</f>
        <v/>
      </c>
      <c r="D5" s="25">
        <f>IFERROR(C5/SUM('REGISTRO DE ACTIVOS NUEVOS'!$L$5:$L$81),0)</f>
        <v/>
      </c>
    </row>
    <row r="6">
      <c r="A6" s="6" t="inlineStr">
        <is>
          <t>DEPARTAMENTO TECNICO</t>
        </is>
      </c>
      <c r="B6" s="5">
        <f>COUNTIF('REGISTRO DE ACTIVOS NUEVOS'!$G$5:$G$81,$A6)</f>
        <v/>
      </c>
      <c r="C6" s="8">
        <f>SUMIF('REGISTRO DE ACTIVOS NUEVOS'!$G$5:$G$81,$A6,'REGISTRO DE ACTIVOS NUEVOS'!$L$5:$L$81)</f>
        <v/>
      </c>
      <c r="D6" s="26">
        <f>IFERROR(C6/SUM('REGISTRO DE ACTIVOS NUEVOS'!$L$5:$L$81),0)</f>
        <v/>
      </c>
    </row>
    <row r="7">
      <c r="A7" s="10" t="inlineStr">
        <is>
          <t>DEPARTAMENTO PRODUCC.</t>
        </is>
      </c>
      <c r="B7" s="9">
        <f>COUNTIF('REGISTRO DE ACTIVOS NUEVOS'!$G$5:$G$81,$A7)</f>
        <v/>
      </c>
      <c r="C7" s="12">
        <f>SUMIF('REGISTRO DE ACTIVOS NUEVOS'!$G$5:$G$81,$A7,'REGISTRO DE ACTIVOS NUEVOS'!$L$5:$L$81)</f>
        <v/>
      </c>
      <c r="D7" s="25">
        <f>IFERROR(C7/SUM('REGISTRO DE ACTIVOS NUEVOS'!$L$5:$L$81),0)</f>
        <v/>
      </c>
    </row>
    <row r="8">
      <c r="A8" s="6" t="inlineStr">
        <is>
          <t>PLANTA JABONERIA</t>
        </is>
      </c>
      <c r="B8" s="5">
        <f>COUNTIF('REGISTRO DE ACTIVOS NUEVOS'!$G$5:$G$81,$A8)</f>
        <v/>
      </c>
      <c r="C8" s="8">
        <f>SUMIF('REGISTRO DE ACTIVOS NUEVOS'!$G$5:$G$81,$A8,'REGISTRO DE ACTIVOS NUEVOS'!$L$5:$L$81)</f>
        <v/>
      </c>
      <c r="D8" s="26">
        <f>IFERROR(C8/SUM('REGISTRO DE ACTIVOS NUEVOS'!$L$5:$L$81),0)</f>
        <v/>
      </c>
    </row>
    <row r="9">
      <c r="A9" s="10" t="inlineStr">
        <is>
          <t>PLANTA PERFUMERIA</t>
        </is>
      </c>
      <c r="B9" s="9">
        <f>COUNTIF('REGISTRO DE ACTIVOS NUEVOS'!$G$5:$G$81,$A9)</f>
        <v/>
      </c>
      <c r="C9" s="12">
        <f>SUMIF('REGISTRO DE ACTIVOS NUEVOS'!$G$5:$G$81,$A9,'REGISTRO DE ACTIVOS NUEVOS'!$L$5:$L$81)</f>
        <v/>
      </c>
      <c r="D9" s="25">
        <f>IFERROR(C9/SUM('REGISTRO DE ACTIVOS NUEVOS'!$L$5:$L$81),0)</f>
        <v/>
      </c>
    </row>
    <row r="10">
      <c r="A10" s="17" t="inlineStr">
        <is>
          <t>Total</t>
        </is>
      </c>
      <c r="B10" s="15">
        <f>SUM(B5:B9)</f>
        <v/>
      </c>
      <c r="C10" s="18">
        <f>SUM(C5:C9)</f>
        <v/>
      </c>
      <c r="D10" s="27">
        <f>SUM(D5:D9)</f>
        <v/>
      </c>
    </row>
    <row r="12" ht="22" customHeight="1">
      <c r="A12" s="22" t="inlineStr">
        <is>
          <t>Por categoría</t>
        </is>
      </c>
    </row>
    <row r="13">
      <c r="A13" s="23" t="inlineStr">
        <is>
          <t>Categoría</t>
        </is>
      </c>
      <c r="B13" s="24" t="inlineStr">
        <is>
          <t>Activos</t>
        </is>
      </c>
      <c r="C13" s="24" t="inlineStr">
        <is>
          <t>Valor total</t>
        </is>
      </c>
      <c r="D13" s="24" t="inlineStr">
        <is>
          <t>% del valor</t>
        </is>
      </c>
    </row>
    <row r="14">
      <c r="A14" s="10" t="inlineStr">
        <is>
          <t>MOBILIARIO</t>
        </is>
      </c>
      <c r="B14" s="9">
        <f>COUNTIF('REGISTRO DE ACTIVOS NUEVOS'!$E$5:$E$81,$A14)</f>
        <v/>
      </c>
      <c r="C14" s="12">
        <f>SUMIF('REGISTRO DE ACTIVOS NUEVOS'!$E$5:$E$81,$A14,'REGISTRO DE ACTIVOS NUEVOS'!$L$5:$L$81)</f>
        <v/>
      </c>
      <c r="D14" s="25">
        <f>IFERROR(C14/SUM('REGISTRO DE ACTIVOS NUEVOS'!$L$5:$L$81),0)</f>
        <v/>
      </c>
    </row>
    <row r="15">
      <c r="A15" s="6" t="inlineStr">
        <is>
          <t>INFORMATICA</t>
        </is>
      </c>
      <c r="B15" s="5">
        <f>COUNTIF('REGISTRO DE ACTIVOS NUEVOS'!$E$5:$E$81,$A15)</f>
        <v/>
      </c>
      <c r="C15" s="8">
        <f>SUMIF('REGISTRO DE ACTIVOS NUEVOS'!$E$5:$E$81,$A15,'REGISTRO DE ACTIVOS NUEVOS'!$L$5:$L$81)</f>
        <v/>
      </c>
      <c r="D15" s="26">
        <f>IFERROR(C15/SUM('REGISTRO DE ACTIVOS NUEVOS'!$L$5:$L$81),0)</f>
        <v/>
      </c>
    </row>
    <row r="16">
      <c r="A16" s="10" t="inlineStr">
        <is>
          <t>EQUIPOS DE CLIMATIZACION Y REFRIGERACION</t>
        </is>
      </c>
      <c r="B16" s="9">
        <f>COUNTIF('REGISTRO DE ACTIVOS NUEVOS'!$E$5:$E$81,$A16)</f>
        <v/>
      </c>
      <c r="C16" s="12">
        <f>SUMIF('REGISTRO DE ACTIVOS NUEVOS'!$E$5:$E$81,$A16,'REGISTRO DE ACTIVOS NUEVOS'!$L$5:$L$81)</f>
        <v/>
      </c>
      <c r="D16" s="25">
        <f>IFERROR(C16/SUM('REGISTRO DE ACTIVOS NUEVOS'!$L$5:$L$81),0)</f>
        <v/>
      </c>
    </row>
    <row r="17">
      <c r="A17" s="6" t="inlineStr">
        <is>
          <t>TECNOLOGIA</t>
        </is>
      </c>
      <c r="B17" s="5">
        <f>COUNTIF('REGISTRO DE ACTIVOS NUEVOS'!$E$5:$E$81,$A17)</f>
        <v/>
      </c>
      <c r="C17" s="8">
        <f>SUMIF('REGISTRO DE ACTIVOS NUEVOS'!$E$5:$E$81,$A17,'REGISTRO DE ACTIVOS NUEVOS'!$L$5:$L$81)</f>
        <v/>
      </c>
      <c r="D17" s="26">
        <f>IFERROR(C17/SUM('REGISTRO DE ACTIVOS NUEVOS'!$L$5:$L$81),0)</f>
        <v/>
      </c>
    </row>
    <row r="18">
      <c r="A18" s="10" t="inlineStr">
        <is>
          <t>TRANSPORTE</t>
        </is>
      </c>
      <c r="B18" s="9">
        <f>COUNTIF('REGISTRO DE ACTIVOS NUEVOS'!$E$5:$E$81,$A18)</f>
        <v/>
      </c>
      <c r="C18" s="12">
        <f>SUMIF('REGISTRO DE ACTIVOS NUEVOS'!$E$5:$E$81,$A18,'REGISTRO DE ACTIVOS NUEVOS'!$L$5:$L$81)</f>
        <v/>
      </c>
      <c r="D18" s="25">
        <f>IFERROR(C18/SUM('REGISTRO DE ACTIVOS NUEVOS'!$L$5:$L$81),0)</f>
        <v/>
      </c>
    </row>
    <row r="19">
      <c r="A19" s="17" t="inlineStr">
        <is>
          <t>Total</t>
        </is>
      </c>
      <c r="B19" s="15">
        <f>SUM(B14:B18)</f>
        <v/>
      </c>
      <c r="C19" s="18">
        <f>SUM(C14:C18)</f>
        <v/>
      </c>
      <c r="D19" s="27">
        <f>SUM(D14:D18)</f>
        <v/>
      </c>
    </row>
    <row r="21" ht="22" customHeight="1">
      <c r="A21" s="22" t="inlineStr">
        <is>
          <t>Por estado</t>
        </is>
      </c>
    </row>
    <row r="22">
      <c r="A22" s="23" t="inlineStr">
        <is>
          <t>Estado</t>
        </is>
      </c>
      <c r="B22" s="24" t="inlineStr">
        <is>
          <t>Activos</t>
        </is>
      </c>
      <c r="C22" s="24" t="inlineStr">
        <is>
          <t>Valor total</t>
        </is>
      </c>
      <c r="D22" s="24" t="inlineStr">
        <is>
          <t>% del valor</t>
        </is>
      </c>
    </row>
    <row r="23">
      <c r="A23" s="10" t="inlineStr">
        <is>
          <t>SERVICIO</t>
        </is>
      </c>
      <c r="B23" s="9">
        <f>COUNTIF('REGISTRO DE ACTIVOS NUEVOS'!$F$5:$F$81,$A23)</f>
        <v/>
      </c>
      <c r="C23" s="12">
        <f>SUMIF('REGISTRO DE ACTIVOS NUEVOS'!$F$5:$F$81,$A23,'REGISTRO DE ACTIVOS NUEVOS'!$L$5:$L$81)</f>
        <v/>
      </c>
      <c r="D23" s="25">
        <f>IFERROR(C23/SUM('REGISTRO DE ACTIVOS NUEVOS'!$L$5:$L$81),0)</f>
        <v/>
      </c>
    </row>
    <row r="24">
      <c r="A24" s="6" t="inlineStr">
        <is>
          <t>MTTO</t>
        </is>
      </c>
      <c r="B24" s="5">
        <f>COUNTIF('REGISTRO DE ACTIVOS NUEVOS'!$F$5:$F$81,$A24)</f>
        <v/>
      </c>
      <c r="C24" s="8">
        <f>SUMIF('REGISTRO DE ACTIVOS NUEVOS'!$F$5:$F$81,$A24,'REGISTRO DE ACTIVOS NUEVOS'!$L$5:$L$81)</f>
        <v/>
      </c>
      <c r="D24" s="26">
        <f>IFERROR(C24/SUM('REGISTRO DE ACTIVOS NUEVOS'!$L$5:$L$81),0)</f>
        <v/>
      </c>
    </row>
    <row r="25">
      <c r="A25" s="10" t="inlineStr">
        <is>
          <t>BAJA</t>
        </is>
      </c>
      <c r="B25" s="9">
        <f>COUNTIF('REGISTRO DE ACTIVOS NUEVOS'!$F$5:$F$81,$A25)</f>
        <v/>
      </c>
      <c r="C25" s="12">
        <f>SUMIF('REGISTRO DE ACTIVOS NUEVOS'!$F$5:$F$81,$A25,'REGISTRO DE ACTIVOS NUEVOS'!$L$5:$L$81)</f>
        <v/>
      </c>
      <c r="D25" s="25">
        <f>IFERROR(C25/SUM('REGISTRO DE ACTIVOS NUEVOS'!$L$5:$L$81),0)</f>
        <v/>
      </c>
    </row>
    <row r="26">
      <c r="A26" s="17" t="inlineStr">
        <is>
          <t>Total</t>
        </is>
      </c>
      <c r="B26" s="15">
        <f>SUM(B23:B25)</f>
        <v/>
      </c>
      <c r="C26" s="18">
        <f>SUM(C23:C25)</f>
        <v/>
      </c>
      <c r="D26" s="27">
        <f>SUM(D23:D25)</f>
        <v/>
      </c>
    </row>
  </sheetData>
  <mergeCells count="4">
    <mergeCell ref="A1:D1"/>
    <mergeCell ref="A12:D12"/>
    <mergeCell ref="A3:D3"/>
    <mergeCell ref="A21:D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30" customHeight="1">
      <c r="A1" s="21" t="inlineStr">
        <is>
          <t>Notas, supuestos y trazabilidad</t>
        </is>
      </c>
    </row>
    <row r="3" ht="22" customHeight="1">
      <c r="A3" s="22" t="inlineStr">
        <is>
          <t>Origen del dato</t>
        </is>
      </c>
    </row>
    <row r="4" ht="26" customHeight="1">
      <c r="A4" s="28" t="inlineStr">
        <is>
          <t>Fuente</t>
        </is>
      </c>
      <c r="B4" s="29" t="inlineStr">
        <is>
          <t>Hoja «REGISTRO DE ACTIVOS NUEVOS» de «EJEMPLOS DE EMPRESAS Y AFT (1).xls» (EMPRESA SUCHEL TROPICAL): bloque DIRECCION TECNICO-PRODUCTIVA, códigos DTP-01 a DTP-77.</t>
        </is>
      </c>
    </row>
    <row r="5" ht="26" customHeight="1">
      <c r="A5" s="28" t="inlineStr">
        <is>
          <t>Alcance</t>
        </is>
      </c>
      <c r="B5" s="29" t="inlineStr">
        <is>
          <t>77 activos en 5 áreas. El archivo de origen tiene 252 activos en total (DG, DTP, DC, DE, DL); este registro cubre sólo la DIRECCION TECNICO-PRODUCTIVA.</t>
        </is>
      </c>
    </row>
    <row r="6" ht="22" customHeight="1">
      <c r="A6" s="22" t="inlineStr">
        <is>
          <t>Rellenado a partir del propio Excel (dato real, sólo desagregado)</t>
        </is>
      </c>
    </row>
    <row r="7" ht="26" customHeight="1">
      <c r="A7" s="28" t="inlineStr">
        <is>
          <t>DIRECCION</t>
        </is>
      </c>
      <c r="B7" s="29" t="inlineStr">
        <is>
          <t>Venía sólo en la primera fila por celda combinada. Replicada en las 77 filas: DIRECCION TECNICO-PRODUCTIVA.</t>
        </is>
      </c>
    </row>
    <row r="8" ht="39" customHeight="1">
      <c r="A8" s="28" t="inlineStr">
        <is>
          <t>AREA</t>
        </is>
      </c>
      <c r="B8" s="29" t="inlineStr">
        <is>
          <t>Venía sólo en la fila que abre cada bloque. Replicada hacia abajo: DTP-01..11 OFICINA DIRECTOR TECN.// PRODUCT. / DTP-12..20 DEPARTAMENTO TECNICO / DTP-21..29 DEPARTAMENTO PRODUCC. / DTP-30..53 PLANTA JABONERIA / DTP-54..77 PLANTA PERFUMERIA.</t>
        </is>
      </c>
    </row>
    <row r="9" ht="26" customHeight="1">
      <c r="A9" s="28" t="inlineStr">
        <is>
          <t>RESPONSABLE</t>
        </is>
      </c>
      <c r="B9" s="29" t="inlineStr">
        <is>
          <t>Mismo criterio que AREA: DIRECTOR TECN. // PRODUCT. / JEFE DPTO. TECNICO / JEFE DPTO. PRODUCC. / JEFE PLANTA JABONERIA / JEFE PLANTA PERFUMERIA.</t>
        </is>
      </c>
    </row>
    <row r="10" ht="39" customHeight="1">
      <c r="A10" s="28" t="inlineStr">
        <is>
          <t>Nombres de área</t>
        </is>
      </c>
      <c r="B10" s="29" t="inlineStr">
        <is>
          <t>«OFICINA DIRECTOR TECN.// PRODUCT.» y «DIRECTOR TECN. // PRODUCT.» se dejaron tal cual, con su puntuación irregular: CORE resuelve área y responsable por nombre exacto, así que normalizarlos crearía registros duplicados frente al resto del archivo.</t>
        </is>
      </c>
    </row>
    <row r="11" ht="22" customHeight="1">
      <c r="A11" s="22" t="inlineStr">
        <is>
          <t>Huecos e inconsistencias resueltos (revisar antes de aprobar)</t>
        </is>
      </c>
    </row>
    <row r="12" ht="26" customHeight="1">
      <c r="A12" s="28" t="inlineStr">
        <is>
          <t>DTP-28</t>
        </is>
      </c>
      <c r="B12" s="29" t="inlineStr">
        <is>
          <t>Venía sin ESTADO. Se asumió SERVICIO: es un PC ESCRITORIO idéntico al DTP-27 del mismo bloque.</t>
        </is>
      </c>
    </row>
    <row r="13" ht="26" customHeight="1">
      <c r="A13" s="28" t="inlineStr">
        <is>
          <t>DTP-55 / DTP-57 / DTP-61</t>
        </is>
      </c>
      <c r="B13" s="29" t="inlineStr">
        <is>
          <t>Venían sin ESTADO. Se asumió SERVICIO, igual que su par inmediato en PLANTA PERFUMERIA (DTP-54, DTP-56 y DTP-60).</t>
        </is>
      </c>
    </row>
    <row r="14" ht="26" customHeight="1">
      <c r="A14" s="28" t="inlineStr">
        <is>
          <t>DTP-06</t>
        </is>
      </c>
      <c r="B14" s="29" t="inlineStr">
        <is>
          <t>«1 SOFA 3 PERONAS» corregido a «1 SOFA 3 PERSONAS». También se quitó el espacio sobrante al inicio de DTP-01.</t>
        </is>
      </c>
    </row>
    <row r="15" ht="78" customHeight="1">
      <c r="A15" s="30" t="inlineStr">
        <is>
          <t>DTP-39</t>
        </is>
      </c>
      <c r="B15" s="31" t="inlineStr">
        <is>
          <t>CORREGIDO — el origen decía «4 LINEAS DE JABONERIA»: 4 unidades físicas bajo un solo código, lo que rompe 1 activo = 1 código = 1 QR (las 4 máquinas habrían compartido una etiqueta). Confirmado que la planta tiene 4 líneas en total: el «4» era el encabezado del grupo, DTP-39 es la línea 1 y DTP-40/41/42 son la 2, 3 y 4. Se renombró a «LINEA DE JABONERIA» y su valor pasó de 4 × línea a 1 × línea. Es el único NOMBRE AFT que difiere del texto literal del .xls por algo que no es una errata de tipeo.</t>
        </is>
      </c>
    </row>
    <row r="16" ht="22" customHeight="1">
      <c r="A16" s="22" t="inlineStr">
        <is>
          <t>Columnas SIN dato en el origen — valores de EJEMPLO (encabezado en azul)</t>
        </is>
      </c>
    </row>
    <row r="17" ht="52" customHeight="1">
      <c r="A17" s="30" t="inlineStr">
        <is>
          <t>Advertencia</t>
        </is>
      </c>
      <c r="B17" s="31" t="inlineStr">
        <is>
          <t>MARCA, MODELO, SERIE, FECHA COMPRA y VALOR.CLP. están vacías en las 252 filas del Excel de origen. Los valores de estas 5 columnas fueron GENERADOS para entregar el registro completo: son plausibles, no reales. Reemplazar con el acta de recepción / factura antes de aprobar el lote en el CCP.</t>
        </is>
      </c>
    </row>
    <row r="18" ht="52" customHeight="1">
      <c r="A18" s="28" t="inlineStr">
        <is>
          <t>MARCA / MODELO</t>
        </is>
      </c>
      <c r="B18" s="29" t="inlineStr">
        <is>
          <t>Oficina: Rosen, Mica, Ergosillas, Dimeiggs, HP, Epson, Lenovo, LG, Midea, Recco. Planta: Mazzoni LB (jabonería), IWK (pasta dental), Marchesini (desodorante y perfumes), Krones (champú y acondicionador), Toyota (montacarga), Soler &amp; Palau (extractores), Bitzer (compresores), Carrier (chillers).</t>
        </is>
      </c>
    </row>
    <row r="19" ht="26" customHeight="1">
      <c r="A19" s="28" t="inlineStr">
        <is>
          <t>SERIE</t>
        </is>
      </c>
      <c r="B19" s="29" t="inlineStr">
        <is>
          <t>Patrón determinista SN-&lt;código sin guión&gt;-&lt;4 dígitos&gt;. No corresponde al número de serie físico del equipo.</t>
        </is>
      </c>
    </row>
    <row r="20" ht="52" customHeight="1">
      <c r="A20" s="28" t="inlineStr">
        <is>
          <t>FECHA COMPRA</t>
        </is>
      </c>
      <c r="B20" s="29" t="inlineStr">
        <is>
          <t>Una fecha por bloque/área, simulando la orden de compra del lote. Las dos plantas quedaron con fecha anterior a las oficinas (2020 vs 2021), que es lo habitual en equipamiento industrial: JABONERIA 05-2020 / PERFUMERIA 10-2020 / OFICINA DIRECTOR 04-2021 / DPTO. TECNICO 09-2021 / DPTO. PRODUCCION 11-2021.</t>
        </is>
      </c>
    </row>
    <row r="21" ht="52" customHeight="1">
      <c r="A21" s="28" t="inlineStr">
        <is>
          <t>VALOR.CLP.</t>
        </is>
      </c>
      <c r="B21" s="29" t="inlineStr">
        <is>
          <t>Valor de reposición referencial en pesos chilenos por tipo de bien. No es valor contable ni valor libro: no incorpora depreciación. Ojo con el peso de las líneas de producción: concentran la mayor parte del valor del registro, así que conviene reemplazarlas por el valor real antes que ninguna otra.</t>
        </is>
      </c>
    </row>
    <row r="22" ht="22" customHeight="1">
      <c r="A22" s="22" t="inlineStr">
        <is>
          <t>Compatibilidad con el ETL contable de SICSAFT</t>
        </is>
      </c>
    </row>
    <row r="23" ht="39" customHeight="1">
      <c r="A23" s="28" t="inlineStr">
        <is>
          <t>Hoja y encabezados</t>
        </is>
      </c>
      <c r="B23" s="29" t="inlineStr">
        <is>
          <t>El nombre de hoja «REGISTRO DE ACTIVOS NUEVOS» y los 13 encabezados coinciden con herramientas/etl-contable/mapeo/mapeo-ejemplo.json, así que el archivo se procesa tal cual con etl_contable.py.</t>
        </is>
      </c>
    </row>
    <row r="24" ht="26" customHeight="1">
      <c r="A24" s="28" t="inlineStr">
        <is>
          <t>Fila TOTAL</t>
        </is>
      </c>
      <c r="B24" s="29" t="inlineStr">
        <is>
          <t>La fila de totales va sin CODIGO a propósito: el ETL descarta las filas sin codigoPatrimonial, así que no entra al lote como si fuera un activo.</t>
        </is>
      </c>
    </row>
    <row r="25" ht="26" customHeight="1">
      <c r="A25" s="28" t="inlineStr">
        <is>
          <t>Validación</t>
        </is>
      </c>
      <c r="B25" s="29" t="inlineStr">
        <is>
          <t>CATEGORIA, ESTADO, DIRECCION y AREA tienen lista desplegable contra los catálogos de la hoja oculta «Listas», para que una carga manual no invente valores nuevos.</t>
        </is>
      </c>
    </row>
  </sheetData>
  <mergeCells count="6">
    <mergeCell ref="A16:B16"/>
    <mergeCell ref="A11:B11"/>
    <mergeCell ref="A1:B1"/>
    <mergeCell ref="A3:B3"/>
    <mergeCell ref="A6:B6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2026-09-07T20:10:27Z</dcterms:created>
  <dcterms:modified xmlns:dcterms="http://purl.org/dc/terms/" xmlns:xsi="http://www.w3.org/2001/XMLSchema-instance" xsi:type="dcterms:W3CDTF">2026-09-07T20:10:27Z</dcterms:modified>
</cp:coreProperties>
</file>