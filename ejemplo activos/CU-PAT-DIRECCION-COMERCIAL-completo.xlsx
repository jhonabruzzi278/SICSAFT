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ACTIVOS NUEVO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Resumen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'REGISTRO DE ACTIVOS NUEVOS'!$A$4:$M$43</definedName>
    <definedName name="_xlnm.Print_Titles" localSheetId="0">'REGISTRO DE ACTIVOS NUEVOS'!$4:$4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&quot;$&quot;#,##0"/>
    <numFmt numFmtId="167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CB8CB"/>
      <sz val="10"/>
    </font>
    <font>
      <name val="Arial"/>
      <b val="1"/>
      <color rgb="00FFFFFF"/>
      <sz val="10"/>
    </font>
    <font>
      <name val="Arial"/>
      <color rgb="000B1B33"/>
      <sz val="10"/>
    </font>
    <font>
      <name val="Arial"/>
      <b val="1"/>
      <color rgb="009A5B00"/>
      <sz val="10"/>
    </font>
    <font>
      <name val="Arial"/>
      <b val="1"/>
      <color rgb="000B1B33"/>
      <sz val="10"/>
    </font>
    <font>
      <name val="Arial"/>
      <b val="1"/>
      <color rgb="00FFFFFF"/>
      <sz val="16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20B1E"/>
      </patternFill>
    </fill>
    <fill>
      <patternFill patternType="solid">
        <fgColor rgb="0005132A"/>
      </patternFill>
    </fill>
    <fill>
      <patternFill patternType="solid">
        <fgColor rgb="00144881"/>
      </patternFill>
    </fill>
    <fill>
      <patternFill patternType="solid">
        <fgColor rgb="00EFF4FC"/>
      </patternFill>
    </fill>
    <fill>
      <patternFill patternType="solid">
        <fgColor rgb="00FFF3D6"/>
      </patternFill>
    </fill>
    <fill>
      <patternFill patternType="solid">
        <fgColor rgb="00E2ECF9"/>
      </patternFill>
    </fill>
  </fills>
  <borders count="2">
    <border>
      <left/>
      <right/>
      <top/>
      <bottom/>
      <diagonal/>
    </border>
    <border>
      <left style="thin">
        <color rgb="00C9D6EA"/>
      </left>
      <right style="thin">
        <color rgb="00C9D6EA"/>
      </right>
      <top style="thin">
        <color rgb="00C9D6EA"/>
      </top>
      <bottom style="thin">
        <color rgb="00C9D6E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left" vertical="center" indent="1"/>
    </xf>
    <xf numFmtId="166" fontId="3" fillId="3" borderId="1" applyAlignment="1" pivotButton="0" quotePrefix="0" xfId="0">
      <alignment horizontal="right" vertical="center"/>
    </xf>
    <xf numFmtId="0" fontId="6" fillId="0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inden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SICSAFT</author>
  </authors>
  <commentList>
    <comment ref="H4" authorId="0" shapeId="0">
      <text>
        <t>Columna sin dato en el Excel de origen.
Valor de ejemplo generado: reemplazar por el dato real
del acta de recepcion / factura antes de aprobar el lote.</t>
      </text>
    </comment>
    <comment ref="I4" authorId="0" shapeId="0">
      <text>
        <t>Columna sin dato en el Excel de origen.
Valor de ejemplo generado: reemplazar por el dato real
del acta de recepcion / factura antes de aprobar el lote.</t>
      </text>
    </comment>
    <comment ref="J4" authorId="0" shapeId="0">
      <text>
        <t>Columna sin dato en el Excel de origen.
Valor de ejemplo generado: reemplazar por el dato real
del acta de recepcion / factura antes de aprobar el lote.</t>
      </text>
    </comment>
    <comment ref="K4" authorId="0" shapeId="0">
      <text>
        <t>Columna sin dato en el Excel de origen.
Valor de ejemplo generado: reemplazar por el dato real
del acta de recepcion / factura antes de aprobar el lote.</t>
      </text>
    </comment>
    <comment ref="L4" authorId="0" shapeId="0">
      <text>
        <t>Columna sin dato en el Excel de origen.
Valor de ejemplo generado: reemplazar por el dato real
del acta de recepcion / factura antes de aprobar el lote.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34" customWidth="1" min="4" max="4"/>
    <col width="34" customWidth="1" min="5" max="5"/>
    <col width="11" customWidth="1" min="6" max="6"/>
    <col width="34" customWidth="1" min="7" max="7"/>
    <col width="15" customWidth="1" min="8" max="8"/>
    <col width="28" customWidth="1" min="9" max="9"/>
    <col width="16" customWidth="1" min="10" max="10"/>
    <col width="14" customWidth="1" min="11" max="11"/>
    <col width="16" customWidth="1" min="12" max="12"/>
    <col width="28" customWidth="1" min="13" max="13"/>
  </cols>
  <sheetData>
    <row r="1" ht="34" customHeight="1">
      <c r="A1" s="1" t="inlineStr">
        <is>
          <t>CU-PAT — Gestión Patrimonial</t>
        </is>
      </c>
    </row>
    <row r="2" ht="20" customHeight="1">
      <c r="A2" s="2" t="inlineStr">
        <is>
          <t>EMPRESA SUCHEL TROPICAL  ·  DIRECCIÓN COMERCIAL  ·  39 activos  ·  registro completo</t>
        </is>
      </c>
    </row>
    <row r="3" ht="6" customHeight="1"/>
    <row r="4" ht="30" customHeight="1">
      <c r="A4" s="3" t="inlineStr">
        <is>
          <t>No.</t>
        </is>
      </c>
      <c r="B4" s="3" t="inlineStr">
        <is>
          <t>DIRECCION</t>
        </is>
      </c>
      <c r="C4" s="3" t="inlineStr">
        <is>
          <t>CODIGO</t>
        </is>
      </c>
      <c r="D4" s="3" t="inlineStr">
        <is>
          <t>NOMBRE AFT</t>
        </is>
      </c>
      <c r="E4" s="3" t="inlineStr">
        <is>
          <t>CATEGORIA</t>
        </is>
      </c>
      <c r="F4" s="3" t="inlineStr">
        <is>
          <t>ESTADO</t>
        </is>
      </c>
      <c r="G4" s="3" t="inlineStr">
        <is>
          <t>AREA</t>
        </is>
      </c>
      <c r="H4" s="4" t="inlineStr">
        <is>
          <t>MARCA</t>
        </is>
      </c>
      <c r="I4" s="4" t="inlineStr">
        <is>
          <t>MODELO</t>
        </is>
      </c>
      <c r="J4" s="4" t="inlineStr">
        <is>
          <t>SERIE</t>
        </is>
      </c>
      <c r="K4" s="4" t="inlineStr">
        <is>
          <t>FECHA COMPRA</t>
        </is>
      </c>
      <c r="L4" s="4" t="inlineStr">
        <is>
          <t>VALOR.CLP.</t>
        </is>
      </c>
      <c r="M4" s="3" t="inlineStr">
        <is>
          <t>RESPONSABLE</t>
        </is>
      </c>
    </row>
    <row r="5">
      <c r="A5" s="5" t="n">
        <v>1</v>
      </c>
      <c r="B5" s="6" t="inlineStr">
        <is>
          <t>DIRECCION COMERCIAL</t>
        </is>
      </c>
      <c r="C5" s="5" t="inlineStr">
        <is>
          <t>DC-01</t>
        </is>
      </c>
      <c r="D5" s="6" t="inlineStr">
        <is>
          <t>1 EQUIPO CLIMATIZACION 12000 BTU</t>
        </is>
      </c>
      <c r="E5" s="6" t="inlineStr">
        <is>
          <t>EQUIPOS DE CLIMATIZACION Y REFRIGERACION</t>
        </is>
      </c>
      <c r="F5" s="5" t="inlineStr">
        <is>
          <t>SERVICIO</t>
        </is>
      </c>
      <c r="G5" s="6" t="inlineStr">
        <is>
          <t>OFICINA DIRECTOR COMERCIAL</t>
        </is>
      </c>
      <c r="H5" s="6" t="inlineStr">
        <is>
          <t>Midea</t>
        </is>
      </c>
      <c r="I5" s="6" t="inlineStr">
        <is>
          <t>Xtreme Save 12.000 BTU</t>
        </is>
      </c>
      <c r="J5" s="5" t="inlineStr">
        <is>
          <t>SN-DC01-2186</t>
        </is>
      </c>
      <c r="K5" s="7" t="n">
        <v>44327</v>
      </c>
      <c r="L5" s="8" t="n">
        <v>389900</v>
      </c>
      <c r="M5" s="6" t="inlineStr">
        <is>
          <t>DIRECTOR COMERCIAL</t>
        </is>
      </c>
    </row>
    <row r="6">
      <c r="A6" s="9" t="n">
        <v>2</v>
      </c>
      <c r="B6" s="10" t="inlineStr">
        <is>
          <t>DIRECCION COMERCIAL</t>
        </is>
      </c>
      <c r="C6" s="9" t="inlineStr">
        <is>
          <t>DC-02</t>
        </is>
      </c>
      <c r="D6" s="10" t="inlineStr">
        <is>
          <t>1 SOFA 3 PERSONAS</t>
        </is>
      </c>
      <c r="E6" s="10" t="inlineStr">
        <is>
          <t>MOBILIARIO</t>
        </is>
      </c>
      <c r="F6" s="9" t="inlineStr">
        <is>
          <t>SERVICIO</t>
        </is>
      </c>
      <c r="G6" s="10" t="inlineStr">
        <is>
          <t>OFICINA DIRECTOR COMERCIAL</t>
        </is>
      </c>
      <c r="H6" s="10" t="inlineStr">
        <is>
          <t>Rosen</t>
        </is>
      </c>
      <c r="I6" s="10" t="inlineStr">
        <is>
          <t>Milano 3 Cuerpos</t>
        </is>
      </c>
      <c r="J6" s="9" t="inlineStr">
        <is>
          <t>SN-DC02-2323</t>
        </is>
      </c>
      <c r="K6" s="11" t="n">
        <v>44332</v>
      </c>
      <c r="L6" s="12" t="n">
        <v>429900</v>
      </c>
      <c r="M6" s="10" t="inlineStr">
        <is>
          <t>DIRECTOR COMERCIAL</t>
        </is>
      </c>
    </row>
    <row r="7">
      <c r="A7" s="5" t="n">
        <v>3</v>
      </c>
      <c r="B7" s="6" t="inlineStr">
        <is>
          <t>DIRECCION COMERCIAL</t>
        </is>
      </c>
      <c r="C7" s="5" t="inlineStr">
        <is>
          <t>DC-03</t>
        </is>
      </c>
      <c r="D7" s="6" t="inlineStr">
        <is>
          <t>BUTACA CON BRAZOS</t>
        </is>
      </c>
      <c r="E7" s="6" t="inlineStr">
        <is>
          <t>MOBILIARIO</t>
        </is>
      </c>
      <c r="F7" s="5" t="inlineStr">
        <is>
          <t>SERVICIO</t>
        </is>
      </c>
      <c r="G7" s="6" t="inlineStr">
        <is>
          <t>OFICINA DIRECTOR COMERCIAL</t>
        </is>
      </c>
      <c r="H7" s="6" t="inlineStr">
        <is>
          <t>Mica</t>
        </is>
      </c>
      <c r="I7" s="6" t="inlineStr">
        <is>
          <t>Oslo con Brazos</t>
        </is>
      </c>
      <c r="J7" s="5" t="inlineStr">
        <is>
          <t>SN-DC03-2460</t>
        </is>
      </c>
      <c r="K7" s="7" t="n">
        <v>44337</v>
      </c>
      <c r="L7" s="8" t="n">
        <v>94990</v>
      </c>
      <c r="M7" s="6" t="inlineStr">
        <is>
          <t>DIRECTOR COMERCIAL</t>
        </is>
      </c>
    </row>
    <row r="8">
      <c r="A8" s="9" t="n">
        <v>4</v>
      </c>
      <c r="B8" s="10" t="inlineStr">
        <is>
          <t>DIRECCION COMERCIAL</t>
        </is>
      </c>
      <c r="C8" s="9" t="inlineStr">
        <is>
          <t>DC-04</t>
        </is>
      </c>
      <c r="D8" s="10" t="inlineStr">
        <is>
          <t>BUTACA CON BRAZOS</t>
        </is>
      </c>
      <c r="E8" s="10" t="inlineStr">
        <is>
          <t>MOBILIARIO</t>
        </is>
      </c>
      <c r="F8" s="9" t="inlineStr">
        <is>
          <t>SERVICIO</t>
        </is>
      </c>
      <c r="G8" s="10" t="inlineStr">
        <is>
          <t>OFICINA DIRECTOR COMERCIAL</t>
        </is>
      </c>
      <c r="H8" s="10" t="inlineStr">
        <is>
          <t>Mica</t>
        </is>
      </c>
      <c r="I8" s="10" t="inlineStr">
        <is>
          <t>Oslo con Brazos</t>
        </is>
      </c>
      <c r="J8" s="9" t="inlineStr">
        <is>
          <t>SN-DC04-2597</t>
        </is>
      </c>
      <c r="K8" s="11" t="n">
        <v>44327</v>
      </c>
      <c r="L8" s="12" t="n">
        <v>94990</v>
      </c>
      <c r="M8" s="10" t="inlineStr">
        <is>
          <t>DIRECTOR COMERCIAL</t>
        </is>
      </c>
    </row>
    <row r="9">
      <c r="A9" s="5" t="n">
        <v>5</v>
      </c>
      <c r="B9" s="6" t="inlineStr">
        <is>
          <t>DIRECCION COMERCIAL</t>
        </is>
      </c>
      <c r="C9" s="5" t="inlineStr">
        <is>
          <t>DC-05</t>
        </is>
      </c>
      <c r="D9" s="6" t="inlineStr">
        <is>
          <t>BUTACA CON BRAZOS</t>
        </is>
      </c>
      <c r="E9" s="6" t="inlineStr">
        <is>
          <t>MOBILIARIO</t>
        </is>
      </c>
      <c r="F9" s="5" t="inlineStr">
        <is>
          <t>SERVICIO</t>
        </is>
      </c>
      <c r="G9" s="6" t="inlineStr">
        <is>
          <t>OFICINA DIRECTOR COMERCIAL</t>
        </is>
      </c>
      <c r="H9" s="6" t="inlineStr">
        <is>
          <t>Mica</t>
        </is>
      </c>
      <c r="I9" s="6" t="inlineStr">
        <is>
          <t>Oslo con Brazos</t>
        </is>
      </c>
      <c r="J9" s="5" t="inlineStr">
        <is>
          <t>SN-DC05-2734</t>
        </is>
      </c>
      <c r="K9" s="7" t="n">
        <v>44332</v>
      </c>
      <c r="L9" s="8" t="n">
        <v>94990</v>
      </c>
      <c r="M9" s="6" t="inlineStr">
        <is>
          <t>DIRECTOR COMERCIAL</t>
        </is>
      </c>
    </row>
    <row r="10">
      <c r="A10" s="9" t="n">
        <v>6</v>
      </c>
      <c r="B10" s="10" t="inlineStr">
        <is>
          <t>DIRECCION COMERCIAL</t>
        </is>
      </c>
      <c r="C10" s="9" t="inlineStr">
        <is>
          <t>DC-06</t>
        </is>
      </c>
      <c r="D10" s="10" t="inlineStr">
        <is>
          <t>1 TV DIGITAL LG 45"</t>
        </is>
      </c>
      <c r="E10" s="10" t="inlineStr">
        <is>
          <t>MOBILIARIO</t>
        </is>
      </c>
      <c r="F10" s="9" t="inlineStr">
        <is>
          <t>SERVICIO</t>
        </is>
      </c>
      <c r="G10" s="10" t="inlineStr">
        <is>
          <t>OFICINA DIRECTOR COMERCIAL</t>
        </is>
      </c>
      <c r="H10" s="10" t="inlineStr">
        <is>
          <t>LG</t>
        </is>
      </c>
      <c r="I10" s="10" t="inlineStr">
        <is>
          <t>45UR7300 UHD</t>
        </is>
      </c>
      <c r="J10" s="9" t="inlineStr">
        <is>
          <t>SN-DC06-2871</t>
        </is>
      </c>
      <c r="K10" s="11" t="n">
        <v>44337</v>
      </c>
      <c r="L10" s="12" t="n">
        <v>329900</v>
      </c>
      <c r="M10" s="10" t="inlineStr">
        <is>
          <t>DIRECTOR COMERCIAL</t>
        </is>
      </c>
    </row>
    <row r="11">
      <c r="A11" s="5" t="n">
        <v>7</v>
      </c>
      <c r="B11" s="6" t="inlineStr">
        <is>
          <t>DIRECCION COMERCIAL</t>
        </is>
      </c>
      <c r="C11" s="5" t="inlineStr">
        <is>
          <t>DC-07</t>
        </is>
      </c>
      <c r="D11" s="6" t="inlineStr">
        <is>
          <t>1 LAPTOP</t>
        </is>
      </c>
      <c r="E11" s="6" t="inlineStr">
        <is>
          <t>INFORMATICA</t>
        </is>
      </c>
      <c r="F11" s="5" t="inlineStr">
        <is>
          <t>SERVICIO</t>
        </is>
      </c>
      <c r="G11" s="6" t="inlineStr">
        <is>
          <t>OFICINA DIRECTOR COMERCIAL</t>
        </is>
      </c>
      <c r="H11" s="6" t="inlineStr">
        <is>
          <t>Lenovo</t>
        </is>
      </c>
      <c r="I11" s="6" t="inlineStr">
        <is>
          <t>ThinkPad E14 Gen 5</t>
        </is>
      </c>
      <c r="J11" s="5" t="inlineStr">
        <is>
          <t>SN-DC07-3008</t>
        </is>
      </c>
      <c r="K11" s="7" t="n">
        <v>44327</v>
      </c>
      <c r="L11" s="8" t="n">
        <v>749900</v>
      </c>
      <c r="M11" s="6" t="inlineStr">
        <is>
          <t>DIRECTOR COMERCIAL</t>
        </is>
      </c>
    </row>
    <row r="12">
      <c r="A12" s="9" t="n">
        <v>8</v>
      </c>
      <c r="B12" s="10" t="inlineStr">
        <is>
          <t>DIRECCION COMERCIAL</t>
        </is>
      </c>
      <c r="C12" s="9" t="inlineStr">
        <is>
          <t>DC-08</t>
        </is>
      </c>
      <c r="D12" s="10" t="inlineStr">
        <is>
          <t>1 BURO</t>
        </is>
      </c>
      <c r="E12" s="10" t="inlineStr">
        <is>
          <t>MOBILIARIO</t>
        </is>
      </c>
      <c r="F12" s="9" t="inlineStr">
        <is>
          <t>SERVICIO</t>
        </is>
      </c>
      <c r="G12" s="10" t="inlineStr">
        <is>
          <t>OFICINA DIRECTOR COMERCIAL</t>
        </is>
      </c>
      <c r="H12" s="10" t="inlineStr">
        <is>
          <t>Rosen</t>
        </is>
      </c>
      <c r="I12" s="10" t="inlineStr">
        <is>
          <t>Buro Ejecutivo BR-120</t>
        </is>
      </c>
      <c r="J12" s="9" t="inlineStr">
        <is>
          <t>SN-DC08-3145</t>
        </is>
      </c>
      <c r="K12" s="11" t="n">
        <v>44332</v>
      </c>
      <c r="L12" s="12" t="n">
        <v>159900</v>
      </c>
      <c r="M12" s="10" t="inlineStr">
        <is>
          <t>DIRECTOR COMERCIAL</t>
        </is>
      </c>
    </row>
    <row r="13">
      <c r="A13" s="5" t="n">
        <v>9</v>
      </c>
      <c r="B13" s="6" t="inlineStr">
        <is>
          <t>DIRECCION COMERCIAL</t>
        </is>
      </c>
      <c r="C13" s="5" t="inlineStr">
        <is>
          <t>DC-09</t>
        </is>
      </c>
      <c r="D13" s="6" t="inlineStr">
        <is>
          <t>1 SILLA GIRATORIA</t>
        </is>
      </c>
      <c r="E13" s="6" t="inlineStr">
        <is>
          <t>MOBILIARIO</t>
        </is>
      </c>
      <c r="F13" s="5" t="inlineStr">
        <is>
          <t>SERVICIO</t>
        </is>
      </c>
      <c r="G13" s="6" t="inlineStr">
        <is>
          <t>OFICINA DIRECTOR COMERCIAL</t>
        </is>
      </c>
      <c r="H13" s="6" t="inlineStr">
        <is>
          <t>Ergosillas</t>
        </is>
      </c>
      <c r="I13" s="6" t="inlineStr">
        <is>
          <t>Pro Ergo 120</t>
        </is>
      </c>
      <c r="J13" s="5" t="inlineStr">
        <is>
          <t>SN-DC09-3282</t>
        </is>
      </c>
      <c r="K13" s="7" t="n">
        <v>44337</v>
      </c>
      <c r="L13" s="8" t="n">
        <v>109900</v>
      </c>
      <c r="M13" s="6" t="inlineStr">
        <is>
          <t>DIRECTOR COMERCIAL</t>
        </is>
      </c>
    </row>
    <row r="14">
      <c r="A14" s="9" t="n">
        <v>10</v>
      </c>
      <c r="B14" s="10" t="inlineStr">
        <is>
          <t>DIRECCION COMERCIAL</t>
        </is>
      </c>
      <c r="C14" s="9" t="inlineStr">
        <is>
          <t>DC-10</t>
        </is>
      </c>
      <c r="D14" s="10" t="inlineStr">
        <is>
          <t>1 CREDENZA METALICA</t>
        </is>
      </c>
      <c r="E14" s="10" t="inlineStr">
        <is>
          <t>MOBILIARIO</t>
        </is>
      </c>
      <c r="F14" s="9" t="inlineStr">
        <is>
          <t>SERVICIO</t>
        </is>
      </c>
      <c r="G14" s="10" t="inlineStr">
        <is>
          <t>OFICINA DIRECTOR COMERCIAL</t>
        </is>
      </c>
      <c r="H14" s="10" t="inlineStr">
        <is>
          <t>Dimeiggs</t>
        </is>
      </c>
      <c r="I14" s="10" t="inlineStr">
        <is>
          <t>Credenza Metalica CRD-2P</t>
        </is>
      </c>
      <c r="J14" s="9" t="inlineStr">
        <is>
          <t>SN-DC10-3419</t>
        </is>
      </c>
      <c r="K14" s="11" t="n">
        <v>44327</v>
      </c>
      <c r="L14" s="12" t="n">
        <v>189900</v>
      </c>
      <c r="M14" s="10" t="inlineStr">
        <is>
          <t>DIRECTOR COMERCIAL</t>
        </is>
      </c>
    </row>
    <row r="15">
      <c r="A15" s="5" t="n">
        <v>11</v>
      </c>
      <c r="B15" s="6" t="inlineStr">
        <is>
          <t>DIRECCION COMERCIAL</t>
        </is>
      </c>
      <c r="C15" s="5" t="inlineStr">
        <is>
          <t>DC-11</t>
        </is>
      </c>
      <c r="D15" s="6" t="inlineStr">
        <is>
          <t>1 IMPRESORA</t>
        </is>
      </c>
      <c r="E15" s="6" t="inlineStr">
        <is>
          <t>INFORMATICA</t>
        </is>
      </c>
      <c r="F15" s="5" t="inlineStr">
        <is>
          <t>SERVICIO</t>
        </is>
      </c>
      <c r="G15" s="6" t="inlineStr">
        <is>
          <t>OFICINA DIRECTOR COMERCIAL</t>
        </is>
      </c>
      <c r="H15" s="6" t="inlineStr">
        <is>
          <t>Epson</t>
        </is>
      </c>
      <c r="I15" s="6" t="inlineStr">
        <is>
          <t>EcoTank L3250</t>
        </is>
      </c>
      <c r="J15" s="5" t="inlineStr">
        <is>
          <t>SN-DC11-3556</t>
        </is>
      </c>
      <c r="K15" s="7" t="n">
        <v>44332</v>
      </c>
      <c r="L15" s="8" t="n">
        <v>179900</v>
      </c>
      <c r="M15" s="6" t="inlineStr">
        <is>
          <t>DIRECTOR COMERCIAL</t>
        </is>
      </c>
    </row>
    <row r="16">
      <c r="A16" s="9" t="n">
        <v>12</v>
      </c>
      <c r="B16" s="10" t="inlineStr">
        <is>
          <t>DIRECCION COMERCIAL</t>
        </is>
      </c>
      <c r="C16" s="9" t="inlineStr">
        <is>
          <t>DC-12</t>
        </is>
      </c>
      <c r="D16" s="10" t="inlineStr">
        <is>
          <t>1 IMPRESORA</t>
        </is>
      </c>
      <c r="E16" s="10" t="inlineStr">
        <is>
          <t>INFORMATICA</t>
        </is>
      </c>
      <c r="F16" s="9" t="inlineStr">
        <is>
          <t>SERVICIO</t>
        </is>
      </c>
      <c r="G16" s="10" t="inlineStr">
        <is>
          <t>DEPARTAMENTO VENTAS NACIONAL</t>
        </is>
      </c>
      <c r="H16" s="10" t="inlineStr">
        <is>
          <t>Epson</t>
        </is>
      </c>
      <c r="I16" s="10" t="inlineStr">
        <is>
          <t>EcoTank L3250</t>
        </is>
      </c>
      <c r="J16" s="9" t="inlineStr">
        <is>
          <t>SN-DC12-3693</t>
        </is>
      </c>
      <c r="K16" s="11" t="n">
        <v>44617</v>
      </c>
      <c r="L16" s="12" t="n">
        <v>179900</v>
      </c>
      <c r="M16" s="10" t="inlineStr">
        <is>
          <t>JEFE DPTO. VENTAS NACIONAL</t>
        </is>
      </c>
    </row>
    <row r="17">
      <c r="A17" s="5" t="n">
        <v>13</v>
      </c>
      <c r="B17" s="6" t="inlineStr">
        <is>
          <t>DIRECCION COMERCIAL</t>
        </is>
      </c>
      <c r="C17" s="5" t="inlineStr">
        <is>
          <t>DC-13</t>
        </is>
      </c>
      <c r="D17" s="6" t="inlineStr">
        <is>
          <t>BURO</t>
        </is>
      </c>
      <c r="E17" s="6" t="inlineStr">
        <is>
          <t>MOBILIARIO</t>
        </is>
      </c>
      <c r="F17" s="5" t="inlineStr">
        <is>
          <t>SERVICIO</t>
        </is>
      </c>
      <c r="G17" s="6" t="inlineStr">
        <is>
          <t>DEPARTAMENTO VENTAS NACIONAL</t>
        </is>
      </c>
      <c r="H17" s="6" t="inlineStr">
        <is>
          <t>Rosen</t>
        </is>
      </c>
      <c r="I17" s="6" t="inlineStr">
        <is>
          <t>Buro Ejecutivo BR-120</t>
        </is>
      </c>
      <c r="J17" s="5" t="inlineStr">
        <is>
          <t>SN-DC13-3830</t>
        </is>
      </c>
      <c r="K17" s="7" t="n">
        <v>44607</v>
      </c>
      <c r="L17" s="8" t="n">
        <v>159900</v>
      </c>
      <c r="M17" s="6" t="inlineStr">
        <is>
          <t>JEFE DPTO. VENTAS NACIONAL</t>
        </is>
      </c>
    </row>
    <row r="18">
      <c r="A18" s="9" t="n">
        <v>14</v>
      </c>
      <c r="B18" s="10" t="inlineStr">
        <is>
          <t>DIRECCION COMERCIAL</t>
        </is>
      </c>
      <c r="C18" s="9" t="inlineStr">
        <is>
          <t>DC-14</t>
        </is>
      </c>
      <c r="D18" s="10" t="inlineStr">
        <is>
          <t>BURO</t>
        </is>
      </c>
      <c r="E18" s="10" t="inlineStr">
        <is>
          <t>MOBILIARIO</t>
        </is>
      </c>
      <c r="F18" s="9" t="inlineStr">
        <is>
          <t>SERVICIO</t>
        </is>
      </c>
      <c r="G18" s="10" t="inlineStr">
        <is>
          <t>DEPARTAMENTO VENTAS NACIONAL</t>
        </is>
      </c>
      <c r="H18" s="10" t="inlineStr">
        <is>
          <t>Rosen</t>
        </is>
      </c>
      <c r="I18" s="10" t="inlineStr">
        <is>
          <t>Buro Ejecutivo BR-120</t>
        </is>
      </c>
      <c r="J18" s="9" t="inlineStr">
        <is>
          <t>SN-DC14-3967</t>
        </is>
      </c>
      <c r="K18" s="11" t="n">
        <v>44612</v>
      </c>
      <c r="L18" s="12" t="n">
        <v>159900</v>
      </c>
      <c r="M18" s="10" t="inlineStr">
        <is>
          <t>JEFE DPTO. VENTAS NACIONAL</t>
        </is>
      </c>
    </row>
    <row r="19">
      <c r="A19" s="5" t="n">
        <v>15</v>
      </c>
      <c r="B19" s="6" t="inlineStr">
        <is>
          <t>DIRECCION COMERCIAL</t>
        </is>
      </c>
      <c r="C19" s="5" t="inlineStr">
        <is>
          <t>DC-15</t>
        </is>
      </c>
      <c r="D19" s="6" t="inlineStr">
        <is>
          <t>BURO</t>
        </is>
      </c>
      <c r="E19" s="6" t="inlineStr">
        <is>
          <t>MOBILIARIO</t>
        </is>
      </c>
      <c r="F19" s="5" t="inlineStr">
        <is>
          <t>SERVICIO</t>
        </is>
      </c>
      <c r="G19" s="6" t="inlineStr">
        <is>
          <t>DEPARTAMENTO VENTAS NACIONAL</t>
        </is>
      </c>
      <c r="H19" s="6" t="inlineStr">
        <is>
          <t>Rosen</t>
        </is>
      </c>
      <c r="I19" s="6" t="inlineStr">
        <is>
          <t>Buro Ejecutivo BR-120</t>
        </is>
      </c>
      <c r="J19" s="5" t="inlineStr">
        <is>
          <t>SN-DC15-4104</t>
        </is>
      </c>
      <c r="K19" s="7" t="n">
        <v>44617</v>
      </c>
      <c r="L19" s="8" t="n">
        <v>159900</v>
      </c>
      <c r="M19" s="6" t="inlineStr">
        <is>
          <t>JEFE DPTO. VENTAS NACIONAL</t>
        </is>
      </c>
    </row>
    <row r="20">
      <c r="A20" s="9" t="n">
        <v>16</v>
      </c>
      <c r="B20" s="10" t="inlineStr">
        <is>
          <t>DIRECCION COMERCIAL</t>
        </is>
      </c>
      <c r="C20" s="9" t="inlineStr">
        <is>
          <t>DC-16</t>
        </is>
      </c>
      <c r="D20" s="10" t="inlineStr">
        <is>
          <t>SILLA GIRATORIA</t>
        </is>
      </c>
      <c r="E20" s="10" t="inlineStr">
        <is>
          <t>MOBILIARIO</t>
        </is>
      </c>
      <c r="F20" s="9" t="inlineStr">
        <is>
          <t>SERVICIO</t>
        </is>
      </c>
      <c r="G20" s="10" t="inlineStr">
        <is>
          <t>DEPARTAMENTO VENTAS NACIONAL</t>
        </is>
      </c>
      <c r="H20" s="10" t="inlineStr">
        <is>
          <t>Ergosillas</t>
        </is>
      </c>
      <c r="I20" s="10" t="inlineStr">
        <is>
          <t>Pro Ergo 120</t>
        </is>
      </c>
      <c r="J20" s="9" t="inlineStr">
        <is>
          <t>SN-DC16-4241</t>
        </is>
      </c>
      <c r="K20" s="11" t="n">
        <v>44607</v>
      </c>
      <c r="L20" s="12" t="n">
        <v>109900</v>
      </c>
      <c r="M20" s="10" t="inlineStr">
        <is>
          <t>JEFE DPTO. VENTAS NACIONAL</t>
        </is>
      </c>
    </row>
    <row r="21">
      <c r="A21" s="5" t="n">
        <v>17</v>
      </c>
      <c r="B21" s="6" t="inlineStr">
        <is>
          <t>DIRECCION COMERCIAL</t>
        </is>
      </c>
      <c r="C21" s="5" t="inlineStr">
        <is>
          <t>DC-17</t>
        </is>
      </c>
      <c r="D21" s="6" t="inlineStr">
        <is>
          <t>SILLA GIRATORIA</t>
        </is>
      </c>
      <c r="E21" s="6" t="inlineStr">
        <is>
          <t>MOBILIARIO</t>
        </is>
      </c>
      <c r="F21" s="5" t="inlineStr">
        <is>
          <t>SERVICIO</t>
        </is>
      </c>
      <c r="G21" s="6" t="inlineStr">
        <is>
          <t>DEPARTAMENTO VENTAS NACIONAL</t>
        </is>
      </c>
      <c r="H21" s="6" t="inlineStr">
        <is>
          <t>Ergosillas</t>
        </is>
      </c>
      <c r="I21" s="6" t="inlineStr">
        <is>
          <t>Pro Ergo 120</t>
        </is>
      </c>
      <c r="J21" s="5" t="inlineStr">
        <is>
          <t>SN-DC17-4378</t>
        </is>
      </c>
      <c r="K21" s="7" t="n">
        <v>44612</v>
      </c>
      <c r="L21" s="8" t="n">
        <v>109900</v>
      </c>
      <c r="M21" s="6" t="inlineStr">
        <is>
          <t>JEFE DPTO. VENTAS NACIONAL</t>
        </is>
      </c>
    </row>
    <row r="22">
      <c r="A22" s="9" t="n">
        <v>18</v>
      </c>
      <c r="B22" s="10" t="inlineStr">
        <is>
          <t>DIRECCION COMERCIAL</t>
        </is>
      </c>
      <c r="C22" s="9" t="inlineStr">
        <is>
          <t>DC-18</t>
        </is>
      </c>
      <c r="D22" s="10" t="inlineStr">
        <is>
          <t>SILLA GIRATORIA</t>
        </is>
      </c>
      <c r="E22" s="10" t="inlineStr">
        <is>
          <t>MOBILIARIO</t>
        </is>
      </c>
      <c r="F22" s="9" t="inlineStr">
        <is>
          <t>SERVICIO</t>
        </is>
      </c>
      <c r="G22" s="10" t="inlineStr">
        <is>
          <t>DEPARTAMENTO VENTAS NACIONAL</t>
        </is>
      </c>
      <c r="H22" s="10" t="inlineStr">
        <is>
          <t>Ergosillas</t>
        </is>
      </c>
      <c r="I22" s="10" t="inlineStr">
        <is>
          <t>Pro Ergo 120</t>
        </is>
      </c>
      <c r="J22" s="9" t="inlineStr">
        <is>
          <t>SN-DC18-4515</t>
        </is>
      </c>
      <c r="K22" s="11" t="n">
        <v>44617</v>
      </c>
      <c r="L22" s="12" t="n">
        <v>109900</v>
      </c>
      <c r="M22" s="10" t="inlineStr">
        <is>
          <t>JEFE DPTO. VENTAS NACIONAL</t>
        </is>
      </c>
    </row>
    <row r="23">
      <c r="A23" s="5" t="n">
        <v>19</v>
      </c>
      <c r="B23" s="6" t="inlineStr">
        <is>
          <t>DIRECCION COMERCIAL</t>
        </is>
      </c>
      <c r="C23" s="5" t="inlineStr">
        <is>
          <t>DC-19</t>
        </is>
      </c>
      <c r="D23" s="6" t="inlineStr">
        <is>
          <t>PC ESCRITORIO</t>
        </is>
      </c>
      <c r="E23" s="6" t="inlineStr">
        <is>
          <t>INFORMATICA</t>
        </is>
      </c>
      <c r="F23" s="5" t="inlineStr">
        <is>
          <t>SERVICIO</t>
        </is>
      </c>
      <c r="G23" s="6" t="inlineStr">
        <is>
          <t>DEPARTAMENTO VENTAS NACIONAL</t>
        </is>
      </c>
      <c r="H23" s="6" t="inlineStr">
        <is>
          <t>HP</t>
        </is>
      </c>
      <c r="I23" s="6" t="inlineStr">
        <is>
          <t>ProDesk 400 G9 SFF</t>
        </is>
      </c>
      <c r="J23" s="5" t="inlineStr">
        <is>
          <t>SN-DC19-4652</t>
        </is>
      </c>
      <c r="K23" s="7" t="n">
        <v>44607</v>
      </c>
      <c r="L23" s="8" t="n">
        <v>549900</v>
      </c>
      <c r="M23" s="6" t="inlineStr">
        <is>
          <t>JEFE DPTO. VENTAS NACIONAL</t>
        </is>
      </c>
    </row>
    <row r="24">
      <c r="A24" s="9" t="n">
        <v>20</v>
      </c>
      <c r="B24" s="10" t="inlineStr">
        <is>
          <t>DIRECCION COMERCIAL</t>
        </is>
      </c>
      <c r="C24" s="9" t="inlineStr">
        <is>
          <t>DC-20</t>
        </is>
      </c>
      <c r="D24" s="10" t="inlineStr">
        <is>
          <t>PC ESCRITORIO</t>
        </is>
      </c>
      <c r="E24" s="10" t="inlineStr">
        <is>
          <t>INFORMATICA</t>
        </is>
      </c>
      <c r="F24" s="9" t="inlineStr">
        <is>
          <t>SERVICIO</t>
        </is>
      </c>
      <c r="G24" s="10" t="inlineStr">
        <is>
          <t>DEPARTAMENTO VENTAS NACIONAL</t>
        </is>
      </c>
      <c r="H24" s="10" t="inlineStr">
        <is>
          <t>HP</t>
        </is>
      </c>
      <c r="I24" s="10" t="inlineStr">
        <is>
          <t>ProDesk 400 G9 SFF</t>
        </is>
      </c>
      <c r="J24" s="9" t="inlineStr">
        <is>
          <t>SN-DC20-4789</t>
        </is>
      </c>
      <c r="K24" s="11" t="n">
        <v>44612</v>
      </c>
      <c r="L24" s="12" t="n">
        <v>549900</v>
      </c>
      <c r="M24" s="10" t="inlineStr">
        <is>
          <t>JEFE DPTO. VENTAS NACIONAL</t>
        </is>
      </c>
    </row>
    <row r="25">
      <c r="A25" s="5" t="n">
        <v>21</v>
      </c>
      <c r="B25" s="6" t="inlineStr">
        <is>
          <t>DIRECCION COMERCIAL</t>
        </is>
      </c>
      <c r="C25" s="5" t="inlineStr">
        <is>
          <t>DC-21</t>
        </is>
      </c>
      <c r="D25" s="6" t="inlineStr">
        <is>
          <t>PC ESCRITORIO</t>
        </is>
      </c>
      <c r="E25" s="6" t="inlineStr">
        <is>
          <t>INFORMATICA</t>
        </is>
      </c>
      <c r="F25" s="13" t="inlineStr">
        <is>
          <t>MTTO</t>
        </is>
      </c>
      <c r="G25" s="6" t="inlineStr">
        <is>
          <t>DEPARTAMENTO VENTAS NACIONAL</t>
        </is>
      </c>
      <c r="H25" s="6" t="inlineStr">
        <is>
          <t>HP</t>
        </is>
      </c>
      <c r="I25" s="6" t="inlineStr">
        <is>
          <t>ProDesk 400 G9 SFF</t>
        </is>
      </c>
      <c r="J25" s="5" t="inlineStr">
        <is>
          <t>SN-DC21-4926</t>
        </is>
      </c>
      <c r="K25" s="7" t="n">
        <v>44617</v>
      </c>
      <c r="L25" s="8" t="n">
        <v>549900</v>
      </c>
      <c r="M25" s="6" t="inlineStr">
        <is>
          <t>JEFE DPTO. VENTAS NACIONAL</t>
        </is>
      </c>
    </row>
    <row r="26">
      <c r="A26" s="9" t="n">
        <v>22</v>
      </c>
      <c r="B26" s="10" t="inlineStr">
        <is>
          <t>DIRECCION COMERCIAL</t>
        </is>
      </c>
      <c r="C26" s="9" t="inlineStr">
        <is>
          <t>DC-22</t>
        </is>
      </c>
      <c r="D26" s="10" t="inlineStr">
        <is>
          <t>VENTILADOR</t>
        </is>
      </c>
      <c r="E26" s="10" t="inlineStr">
        <is>
          <t>EQUIPOS DE CLIMATIZACION Y REFRIGERACION</t>
        </is>
      </c>
      <c r="F26" s="9" t="inlineStr">
        <is>
          <t>SERVICIO</t>
        </is>
      </c>
      <c r="G26" s="10" t="inlineStr">
        <is>
          <t>DEPARTAMENTO VENTAS NACIONAL</t>
        </is>
      </c>
      <c r="H26" s="10" t="inlineStr">
        <is>
          <t>Recco</t>
        </is>
      </c>
      <c r="I26" s="10" t="inlineStr">
        <is>
          <t>RVP-45PM Pedestal</t>
        </is>
      </c>
      <c r="J26" s="9" t="inlineStr">
        <is>
          <t>SN-DC22-5063</t>
        </is>
      </c>
      <c r="K26" s="11" t="n">
        <v>44607</v>
      </c>
      <c r="L26" s="12" t="n">
        <v>39990</v>
      </c>
      <c r="M26" s="10" t="inlineStr">
        <is>
          <t>JEFE DPTO. VENTAS NACIONAL</t>
        </is>
      </c>
    </row>
    <row r="27">
      <c r="A27" s="5" t="n">
        <v>23</v>
      </c>
      <c r="B27" s="6" t="inlineStr">
        <is>
          <t>DIRECCION COMERCIAL</t>
        </is>
      </c>
      <c r="C27" s="5" t="inlineStr">
        <is>
          <t>DC-23</t>
        </is>
      </c>
      <c r="D27" s="6" t="inlineStr">
        <is>
          <t>VENTILADOR</t>
        </is>
      </c>
      <c r="E27" s="6" t="inlineStr">
        <is>
          <t>EQUIPOS DE CLIMATIZACION Y REFRIGERACION</t>
        </is>
      </c>
      <c r="F27" s="13" t="inlineStr">
        <is>
          <t>MTTO</t>
        </is>
      </c>
      <c r="G27" s="6" t="inlineStr">
        <is>
          <t>DEPARTAMENTO VENTAS NACIONAL</t>
        </is>
      </c>
      <c r="H27" s="6" t="inlineStr">
        <is>
          <t>Recco</t>
        </is>
      </c>
      <c r="I27" s="6" t="inlineStr">
        <is>
          <t>RVP-45PM Pedestal</t>
        </is>
      </c>
      <c r="J27" s="5" t="inlineStr">
        <is>
          <t>SN-DC23-5200</t>
        </is>
      </c>
      <c r="K27" s="7" t="n">
        <v>44612</v>
      </c>
      <c r="L27" s="8" t="n">
        <v>39990</v>
      </c>
      <c r="M27" s="6" t="inlineStr">
        <is>
          <t>JEFE DPTO. VENTAS NACIONAL</t>
        </is>
      </c>
    </row>
    <row r="28">
      <c r="A28" s="9" t="n">
        <v>24</v>
      </c>
      <c r="B28" s="10" t="inlineStr">
        <is>
          <t>DIRECCION COMERCIAL</t>
        </is>
      </c>
      <c r="C28" s="9" t="inlineStr">
        <is>
          <t>DC-24</t>
        </is>
      </c>
      <c r="D28" s="10" t="inlineStr">
        <is>
          <t>VENTILADOR</t>
        </is>
      </c>
      <c r="E28" s="10" t="inlineStr">
        <is>
          <t>EQUIPOS DE CLIMATIZACION Y REFRIGERACION</t>
        </is>
      </c>
      <c r="F28" s="9" t="inlineStr">
        <is>
          <t>SERVICIO</t>
        </is>
      </c>
      <c r="G28" s="10" t="inlineStr">
        <is>
          <t>DEPARTAMENTO VENTAS NACIONAL</t>
        </is>
      </c>
      <c r="H28" s="10" t="inlineStr">
        <is>
          <t>Recco</t>
        </is>
      </c>
      <c r="I28" s="10" t="inlineStr">
        <is>
          <t>RVP-45PM Pedestal</t>
        </is>
      </c>
      <c r="J28" s="9" t="inlineStr">
        <is>
          <t>SN-DC24-5337</t>
        </is>
      </c>
      <c r="K28" s="11" t="n">
        <v>44617</v>
      </c>
      <c r="L28" s="12" t="n">
        <v>39990</v>
      </c>
      <c r="M28" s="10" t="inlineStr">
        <is>
          <t>JEFE DPTO. VENTAS NACIONAL</t>
        </is>
      </c>
    </row>
    <row r="29">
      <c r="A29" s="5" t="n">
        <v>25</v>
      </c>
      <c r="B29" s="6" t="inlineStr">
        <is>
          <t>DIRECCION COMERCIAL</t>
        </is>
      </c>
      <c r="C29" s="5" t="inlineStr">
        <is>
          <t>DC-25</t>
        </is>
      </c>
      <c r="D29" s="6" t="inlineStr">
        <is>
          <t>1 CREDENZA METALICA</t>
        </is>
      </c>
      <c r="E29" s="6" t="inlineStr">
        <is>
          <t>MOBILIARIO</t>
        </is>
      </c>
      <c r="F29" s="5" t="inlineStr">
        <is>
          <t>SERVICIO</t>
        </is>
      </c>
      <c r="G29" s="6" t="inlineStr">
        <is>
          <t>DEPARTAMENTO VENTAS NACIONAL</t>
        </is>
      </c>
      <c r="H29" s="6" t="inlineStr">
        <is>
          <t>Dimeiggs</t>
        </is>
      </c>
      <c r="I29" s="6" t="inlineStr">
        <is>
          <t>Credenza Metalica CRD-2P</t>
        </is>
      </c>
      <c r="J29" s="5" t="inlineStr">
        <is>
          <t>SN-DC25-5474</t>
        </is>
      </c>
      <c r="K29" s="7" t="n">
        <v>44607</v>
      </c>
      <c r="L29" s="8" t="n">
        <v>189900</v>
      </c>
      <c r="M29" s="6" t="inlineStr">
        <is>
          <t>JEFE DPTO. VENTAS NACIONAL</t>
        </is>
      </c>
    </row>
    <row r="30">
      <c r="A30" s="9" t="n">
        <v>26</v>
      </c>
      <c r="B30" s="10" t="inlineStr">
        <is>
          <t>DIRECCION COMERCIAL</t>
        </is>
      </c>
      <c r="C30" s="9" t="inlineStr">
        <is>
          <t>DC-26</t>
        </is>
      </c>
      <c r="D30" s="10" t="inlineStr">
        <is>
          <t>1 IMPRESORA</t>
        </is>
      </c>
      <c r="E30" s="10" t="inlineStr">
        <is>
          <t>INFORMATICA</t>
        </is>
      </c>
      <c r="F30" s="9" t="inlineStr">
        <is>
          <t>SERVICIO</t>
        </is>
      </c>
      <c r="G30" s="10" t="inlineStr">
        <is>
          <t>DEPARTAMENTO VENTAS INTERNACIONAL</t>
        </is>
      </c>
      <c r="H30" s="10" t="inlineStr">
        <is>
          <t>Epson</t>
        </is>
      </c>
      <c r="I30" s="10" t="inlineStr">
        <is>
          <t>EcoTank L3250</t>
        </is>
      </c>
      <c r="J30" s="9" t="inlineStr">
        <is>
          <t>SN-DC26-5611</t>
        </is>
      </c>
      <c r="K30" s="11" t="n">
        <v>44766</v>
      </c>
      <c r="L30" s="12" t="n">
        <v>179900</v>
      </c>
      <c r="M30" s="10" t="inlineStr">
        <is>
          <t>JEFE DPTO. VENTAS INTERNACIONAL</t>
        </is>
      </c>
    </row>
    <row r="31">
      <c r="A31" s="5" t="n">
        <v>27</v>
      </c>
      <c r="B31" s="6" t="inlineStr">
        <is>
          <t>DIRECCION COMERCIAL</t>
        </is>
      </c>
      <c r="C31" s="5" t="inlineStr">
        <is>
          <t>DC-27</t>
        </is>
      </c>
      <c r="D31" s="6" t="inlineStr">
        <is>
          <t>BURO</t>
        </is>
      </c>
      <c r="E31" s="6" t="inlineStr">
        <is>
          <t>MOBILIARIO</t>
        </is>
      </c>
      <c r="F31" s="5" t="inlineStr">
        <is>
          <t>SERVICIO</t>
        </is>
      </c>
      <c r="G31" s="6" t="inlineStr">
        <is>
          <t>DEPARTAMENTO VENTAS INTERNACIONAL</t>
        </is>
      </c>
      <c r="H31" s="6" t="inlineStr">
        <is>
          <t>Rosen</t>
        </is>
      </c>
      <c r="I31" s="6" t="inlineStr">
        <is>
          <t>Buro Ejecutivo BR-120</t>
        </is>
      </c>
      <c r="J31" s="5" t="inlineStr">
        <is>
          <t>SN-DC27-5748</t>
        </is>
      </c>
      <c r="K31" s="7" t="n">
        <v>44770</v>
      </c>
      <c r="L31" s="8" t="n">
        <v>159900</v>
      </c>
      <c r="M31" s="6" t="inlineStr">
        <is>
          <t>JEFE DPTO. VENTAS INTERNACIONAL</t>
        </is>
      </c>
    </row>
    <row r="32">
      <c r="A32" s="9" t="n">
        <v>28</v>
      </c>
      <c r="B32" s="10" t="inlineStr">
        <is>
          <t>DIRECCION COMERCIAL</t>
        </is>
      </c>
      <c r="C32" s="9" t="inlineStr">
        <is>
          <t>DC-28</t>
        </is>
      </c>
      <c r="D32" s="10" t="inlineStr">
        <is>
          <t>BURO</t>
        </is>
      </c>
      <c r="E32" s="10" t="inlineStr">
        <is>
          <t>MOBILIARIO</t>
        </is>
      </c>
      <c r="F32" s="9" t="inlineStr">
        <is>
          <t>SERVICIO</t>
        </is>
      </c>
      <c r="G32" s="10" t="inlineStr">
        <is>
          <t>DEPARTAMENTO VENTAS INTERNACIONAL</t>
        </is>
      </c>
      <c r="H32" s="10" t="inlineStr">
        <is>
          <t>Rosen</t>
        </is>
      </c>
      <c r="I32" s="10" t="inlineStr">
        <is>
          <t>Buro Ejecutivo BR-120</t>
        </is>
      </c>
      <c r="J32" s="9" t="inlineStr">
        <is>
          <t>SN-DC28-5885</t>
        </is>
      </c>
      <c r="K32" s="11" t="n">
        <v>44761</v>
      </c>
      <c r="L32" s="12" t="n">
        <v>159900</v>
      </c>
      <c r="M32" s="10" t="inlineStr">
        <is>
          <t>JEFE DPTO. VENTAS INTERNACIONAL</t>
        </is>
      </c>
    </row>
    <row r="33">
      <c r="A33" s="5" t="n">
        <v>29</v>
      </c>
      <c r="B33" s="6" t="inlineStr">
        <is>
          <t>DIRECCION COMERCIAL</t>
        </is>
      </c>
      <c r="C33" s="5" t="inlineStr">
        <is>
          <t>DC-29</t>
        </is>
      </c>
      <c r="D33" s="6" t="inlineStr">
        <is>
          <t>BURO</t>
        </is>
      </c>
      <c r="E33" s="6" t="inlineStr">
        <is>
          <t>MOBILIARIO</t>
        </is>
      </c>
      <c r="F33" s="5" t="inlineStr">
        <is>
          <t>SERVICIO</t>
        </is>
      </c>
      <c r="G33" s="6" t="inlineStr">
        <is>
          <t>DEPARTAMENTO VENTAS INTERNACIONAL</t>
        </is>
      </c>
      <c r="H33" s="6" t="inlineStr">
        <is>
          <t>Rosen</t>
        </is>
      </c>
      <c r="I33" s="6" t="inlineStr">
        <is>
          <t>Buro Ejecutivo BR-120</t>
        </is>
      </c>
      <c r="J33" s="5" t="inlineStr">
        <is>
          <t>SN-DC29-6022</t>
        </is>
      </c>
      <c r="K33" s="7" t="n">
        <v>44766</v>
      </c>
      <c r="L33" s="8" t="n">
        <v>159900</v>
      </c>
      <c r="M33" s="6" t="inlineStr">
        <is>
          <t>JEFE DPTO. VENTAS INTERNACIONAL</t>
        </is>
      </c>
    </row>
    <row r="34">
      <c r="A34" s="9" t="n">
        <v>30</v>
      </c>
      <c r="B34" s="10" t="inlineStr">
        <is>
          <t>DIRECCION COMERCIAL</t>
        </is>
      </c>
      <c r="C34" s="9" t="inlineStr">
        <is>
          <t>DC-30</t>
        </is>
      </c>
      <c r="D34" s="10" t="inlineStr">
        <is>
          <t>SILLA GIRATORIA</t>
        </is>
      </c>
      <c r="E34" s="10" t="inlineStr">
        <is>
          <t>MOBILIARIO</t>
        </is>
      </c>
      <c r="F34" s="9" t="inlineStr">
        <is>
          <t>SERVICIO</t>
        </is>
      </c>
      <c r="G34" s="10" t="inlineStr">
        <is>
          <t>DEPARTAMENTO VENTAS INTERNACIONAL</t>
        </is>
      </c>
      <c r="H34" s="10" t="inlineStr">
        <is>
          <t>Ergosillas</t>
        </is>
      </c>
      <c r="I34" s="10" t="inlineStr">
        <is>
          <t>Pro Ergo 120</t>
        </is>
      </c>
      <c r="J34" s="9" t="inlineStr">
        <is>
          <t>SN-DC30-6159</t>
        </is>
      </c>
      <c r="K34" s="11" t="n">
        <v>44770</v>
      </c>
      <c r="L34" s="12" t="n">
        <v>109900</v>
      </c>
      <c r="M34" s="10" t="inlineStr">
        <is>
          <t>JEFE DPTO. VENTAS INTERNACIONAL</t>
        </is>
      </c>
    </row>
    <row r="35">
      <c r="A35" s="5" t="n">
        <v>31</v>
      </c>
      <c r="B35" s="6" t="inlineStr">
        <is>
          <t>DIRECCION COMERCIAL</t>
        </is>
      </c>
      <c r="C35" s="5" t="inlineStr">
        <is>
          <t>DC-31</t>
        </is>
      </c>
      <c r="D35" s="6" t="inlineStr">
        <is>
          <t>SILLA GIRATORIA</t>
        </is>
      </c>
      <c r="E35" s="6" t="inlineStr">
        <is>
          <t>MOBILIARIO</t>
        </is>
      </c>
      <c r="F35" s="5" t="inlineStr">
        <is>
          <t>SERVICIO</t>
        </is>
      </c>
      <c r="G35" s="6" t="inlineStr">
        <is>
          <t>DEPARTAMENTO VENTAS INTERNACIONAL</t>
        </is>
      </c>
      <c r="H35" s="6" t="inlineStr">
        <is>
          <t>Ergosillas</t>
        </is>
      </c>
      <c r="I35" s="6" t="inlineStr">
        <is>
          <t>Pro Ergo 120</t>
        </is>
      </c>
      <c r="J35" s="5" t="inlineStr">
        <is>
          <t>SN-DC31-6296</t>
        </is>
      </c>
      <c r="K35" s="7" t="n">
        <v>44761</v>
      </c>
      <c r="L35" s="8" t="n">
        <v>109900</v>
      </c>
      <c r="M35" s="6" t="inlineStr">
        <is>
          <t>JEFE DPTO. VENTAS INTERNACIONAL</t>
        </is>
      </c>
    </row>
    <row r="36">
      <c r="A36" s="9" t="n">
        <v>32</v>
      </c>
      <c r="B36" s="10" t="inlineStr">
        <is>
          <t>DIRECCION COMERCIAL</t>
        </is>
      </c>
      <c r="C36" s="9" t="inlineStr">
        <is>
          <t>DC-32</t>
        </is>
      </c>
      <c r="D36" s="10" t="inlineStr">
        <is>
          <t>SILLA GIRATORIA</t>
        </is>
      </c>
      <c r="E36" s="10" t="inlineStr">
        <is>
          <t>MOBILIARIO</t>
        </is>
      </c>
      <c r="F36" s="9" t="inlineStr">
        <is>
          <t>SERVICIO</t>
        </is>
      </c>
      <c r="G36" s="10" t="inlineStr">
        <is>
          <t>DEPARTAMENTO VENTAS INTERNACIONAL</t>
        </is>
      </c>
      <c r="H36" s="10" t="inlineStr">
        <is>
          <t>Ergosillas</t>
        </is>
      </c>
      <c r="I36" s="10" t="inlineStr">
        <is>
          <t>Pro Ergo 120</t>
        </is>
      </c>
      <c r="J36" s="9" t="inlineStr">
        <is>
          <t>SN-DC32-6433</t>
        </is>
      </c>
      <c r="K36" s="11" t="n">
        <v>44766</v>
      </c>
      <c r="L36" s="12" t="n">
        <v>109900</v>
      </c>
      <c r="M36" s="10" t="inlineStr">
        <is>
          <t>JEFE DPTO. VENTAS INTERNACIONAL</t>
        </is>
      </c>
    </row>
    <row r="37">
      <c r="A37" s="5" t="n">
        <v>33</v>
      </c>
      <c r="B37" s="6" t="inlineStr">
        <is>
          <t>DIRECCION COMERCIAL</t>
        </is>
      </c>
      <c r="C37" s="5" t="inlineStr">
        <is>
          <t>DC-33</t>
        </is>
      </c>
      <c r="D37" s="6" t="inlineStr">
        <is>
          <t>PC ESCRITORIO</t>
        </is>
      </c>
      <c r="E37" s="6" t="inlineStr">
        <is>
          <t>INFORMATICA</t>
        </is>
      </c>
      <c r="F37" s="5" t="inlineStr">
        <is>
          <t>SERVICIO</t>
        </is>
      </c>
      <c r="G37" s="6" t="inlineStr">
        <is>
          <t>DEPARTAMENTO VENTAS INTERNACIONAL</t>
        </is>
      </c>
      <c r="H37" s="6" t="inlineStr">
        <is>
          <t>HP</t>
        </is>
      </c>
      <c r="I37" s="6" t="inlineStr">
        <is>
          <t>ProDesk 400 G9 SFF</t>
        </is>
      </c>
      <c r="J37" s="5" t="inlineStr">
        <is>
          <t>SN-DC33-6570</t>
        </is>
      </c>
      <c r="K37" s="7" t="n">
        <v>44770</v>
      </c>
      <c r="L37" s="8" t="n">
        <v>549900</v>
      </c>
      <c r="M37" s="6" t="inlineStr">
        <is>
          <t>JEFE DPTO. VENTAS INTERNACIONAL</t>
        </is>
      </c>
    </row>
    <row r="38">
      <c r="A38" s="9" t="n">
        <v>34</v>
      </c>
      <c r="B38" s="10" t="inlineStr">
        <is>
          <t>DIRECCION COMERCIAL</t>
        </is>
      </c>
      <c r="C38" s="9" t="inlineStr">
        <is>
          <t>DC-34</t>
        </is>
      </c>
      <c r="D38" s="10" t="inlineStr">
        <is>
          <t>PC ESCRITORIO</t>
        </is>
      </c>
      <c r="E38" s="10" t="inlineStr">
        <is>
          <t>INFORMATICA</t>
        </is>
      </c>
      <c r="F38" s="9" t="inlineStr">
        <is>
          <t>SERVICIO</t>
        </is>
      </c>
      <c r="G38" s="10" t="inlineStr">
        <is>
          <t>DEPARTAMENTO VENTAS INTERNACIONAL</t>
        </is>
      </c>
      <c r="H38" s="10" t="inlineStr">
        <is>
          <t>HP</t>
        </is>
      </c>
      <c r="I38" s="10" t="inlineStr">
        <is>
          <t>ProDesk 400 G9 SFF</t>
        </is>
      </c>
      <c r="J38" s="9" t="inlineStr">
        <is>
          <t>SN-DC34-6707</t>
        </is>
      </c>
      <c r="K38" s="11" t="n">
        <v>44761</v>
      </c>
      <c r="L38" s="12" t="n">
        <v>549900</v>
      </c>
      <c r="M38" s="10" t="inlineStr">
        <is>
          <t>JEFE DPTO. VENTAS INTERNACIONAL</t>
        </is>
      </c>
    </row>
    <row r="39">
      <c r="A39" s="5" t="n">
        <v>35</v>
      </c>
      <c r="B39" s="6" t="inlineStr">
        <is>
          <t>DIRECCION COMERCIAL</t>
        </is>
      </c>
      <c r="C39" s="5" t="inlineStr">
        <is>
          <t>DC-35</t>
        </is>
      </c>
      <c r="D39" s="6" t="inlineStr">
        <is>
          <t>PC ESCRITORIO</t>
        </is>
      </c>
      <c r="E39" s="6" t="inlineStr">
        <is>
          <t>INFORMATICA</t>
        </is>
      </c>
      <c r="F39" s="5" t="inlineStr">
        <is>
          <t>SERVICIO</t>
        </is>
      </c>
      <c r="G39" s="6" t="inlineStr">
        <is>
          <t>DEPARTAMENTO VENTAS INTERNACIONAL</t>
        </is>
      </c>
      <c r="H39" s="6" t="inlineStr">
        <is>
          <t>HP</t>
        </is>
      </c>
      <c r="I39" s="6" t="inlineStr">
        <is>
          <t>ProDesk 400 G9 SFF</t>
        </is>
      </c>
      <c r="J39" s="5" t="inlineStr">
        <is>
          <t>SN-DC35-6844</t>
        </is>
      </c>
      <c r="K39" s="7" t="n">
        <v>44766</v>
      </c>
      <c r="L39" s="8" t="n">
        <v>549900</v>
      </c>
      <c r="M39" s="6" t="inlineStr">
        <is>
          <t>JEFE DPTO. VENTAS INTERNACIONAL</t>
        </is>
      </c>
    </row>
    <row r="40">
      <c r="A40" s="9" t="n">
        <v>36</v>
      </c>
      <c r="B40" s="10" t="inlineStr">
        <is>
          <t>DIRECCION COMERCIAL</t>
        </is>
      </c>
      <c r="C40" s="9" t="inlineStr">
        <is>
          <t>DC-36</t>
        </is>
      </c>
      <c r="D40" s="10" t="inlineStr">
        <is>
          <t>VENTILADOR</t>
        </is>
      </c>
      <c r="E40" s="10" t="inlineStr">
        <is>
          <t>EQUIPOS DE CLIMATIZACION Y REFRIGERACION</t>
        </is>
      </c>
      <c r="F40" s="9" t="inlineStr">
        <is>
          <t>SERVICIO</t>
        </is>
      </c>
      <c r="G40" s="10" t="inlineStr">
        <is>
          <t>DEPARTAMENTO VENTAS INTERNACIONAL</t>
        </is>
      </c>
      <c r="H40" s="10" t="inlineStr">
        <is>
          <t>Recco</t>
        </is>
      </c>
      <c r="I40" s="10" t="inlineStr">
        <is>
          <t>RVP-45PM Pedestal</t>
        </is>
      </c>
      <c r="J40" s="9" t="inlineStr">
        <is>
          <t>SN-DC36-6981</t>
        </is>
      </c>
      <c r="K40" s="11" t="n">
        <v>44770</v>
      </c>
      <c r="L40" s="12" t="n">
        <v>39990</v>
      </c>
      <c r="M40" s="10" t="inlineStr">
        <is>
          <t>JEFE DPTO. VENTAS INTERNACIONAL</t>
        </is>
      </c>
    </row>
    <row r="41">
      <c r="A41" s="5" t="n">
        <v>37</v>
      </c>
      <c r="B41" s="6" t="inlineStr">
        <is>
          <t>DIRECCION COMERCIAL</t>
        </is>
      </c>
      <c r="C41" s="5" t="inlineStr">
        <is>
          <t>DC-37</t>
        </is>
      </c>
      <c r="D41" s="6" t="inlineStr">
        <is>
          <t>VENTILADOR</t>
        </is>
      </c>
      <c r="E41" s="6" t="inlineStr">
        <is>
          <t>EQUIPOS DE CLIMATIZACION Y REFRIGERACION</t>
        </is>
      </c>
      <c r="F41" s="5" t="inlineStr">
        <is>
          <t>SERVICIO</t>
        </is>
      </c>
      <c r="G41" s="6" t="inlineStr">
        <is>
          <t>DEPARTAMENTO VENTAS INTERNACIONAL</t>
        </is>
      </c>
      <c r="H41" s="6" t="inlineStr">
        <is>
          <t>Recco</t>
        </is>
      </c>
      <c r="I41" s="6" t="inlineStr">
        <is>
          <t>RVP-45PM Pedestal</t>
        </is>
      </c>
      <c r="J41" s="5" t="inlineStr">
        <is>
          <t>SN-DC37-7118</t>
        </is>
      </c>
      <c r="K41" s="7" t="n">
        <v>44761</v>
      </c>
      <c r="L41" s="8" t="n">
        <v>39990</v>
      </c>
      <c r="M41" s="6" t="inlineStr">
        <is>
          <t>JEFE DPTO. VENTAS INTERNACIONAL</t>
        </is>
      </c>
    </row>
    <row r="42">
      <c r="A42" s="9" t="n">
        <v>38</v>
      </c>
      <c r="B42" s="10" t="inlineStr">
        <is>
          <t>DIRECCION COMERCIAL</t>
        </is>
      </c>
      <c r="C42" s="9" t="inlineStr">
        <is>
          <t>DC-38</t>
        </is>
      </c>
      <c r="D42" s="10" t="inlineStr">
        <is>
          <t>VENTILADOR</t>
        </is>
      </c>
      <c r="E42" s="10" t="inlineStr">
        <is>
          <t>EQUIPOS DE CLIMATIZACION Y REFRIGERACION</t>
        </is>
      </c>
      <c r="F42" s="9" t="inlineStr">
        <is>
          <t>SERVICIO</t>
        </is>
      </c>
      <c r="G42" s="10" t="inlineStr">
        <is>
          <t>DEPARTAMENTO VENTAS INTERNACIONAL</t>
        </is>
      </c>
      <c r="H42" s="10" t="inlineStr">
        <is>
          <t>Recco</t>
        </is>
      </c>
      <c r="I42" s="10" t="inlineStr">
        <is>
          <t>RVP-45PM Pedestal</t>
        </is>
      </c>
      <c r="J42" s="9" t="inlineStr">
        <is>
          <t>SN-DC38-7255</t>
        </is>
      </c>
      <c r="K42" s="11" t="n">
        <v>44766</v>
      </c>
      <c r="L42" s="12" t="n">
        <v>39990</v>
      </c>
      <c r="M42" s="10" t="inlineStr">
        <is>
          <t>JEFE DPTO. VENTAS INTERNACIONAL</t>
        </is>
      </c>
    </row>
    <row r="43">
      <c r="A43" s="5" t="n">
        <v>39</v>
      </c>
      <c r="B43" s="6" t="inlineStr">
        <is>
          <t>DIRECCION COMERCIAL</t>
        </is>
      </c>
      <c r="C43" s="5" t="inlineStr">
        <is>
          <t>DC-39</t>
        </is>
      </c>
      <c r="D43" s="6" t="inlineStr">
        <is>
          <t>1 CREDENZA METALICA</t>
        </is>
      </c>
      <c r="E43" s="6" t="inlineStr">
        <is>
          <t>MOBILIARIO</t>
        </is>
      </c>
      <c r="F43" s="5" t="inlineStr">
        <is>
          <t>SERVICIO</t>
        </is>
      </c>
      <c r="G43" s="6" t="inlineStr">
        <is>
          <t>DEPARTAMENTO VENTAS INTERNACIONAL</t>
        </is>
      </c>
      <c r="H43" s="6" t="inlineStr">
        <is>
          <t>Dimeiggs</t>
        </is>
      </c>
      <c r="I43" s="6" t="inlineStr">
        <is>
          <t>Credenza Metalica CRD-2P</t>
        </is>
      </c>
      <c r="J43" s="5" t="inlineStr">
        <is>
          <t>SN-DC39-7392</t>
        </is>
      </c>
      <c r="K43" s="7" t="n">
        <v>44770</v>
      </c>
      <c r="L43" s="8" t="n">
        <v>189900</v>
      </c>
      <c r="M43" s="6" t="inlineStr">
        <is>
          <t>JEFE DPTO. VENTAS INTERNACIONAL</t>
        </is>
      </c>
    </row>
    <row r="44" ht="22" customHeight="1">
      <c r="A44" s="14" t="inlineStr">
        <is>
          <t>TOTAL</t>
        </is>
      </c>
      <c r="B44" s="15" t="n"/>
      <c r="C44" s="15" t="n"/>
      <c r="D44" s="16">
        <f>COUNTA(C5:C43)&amp;" activos registrados"</f>
        <v/>
      </c>
      <c r="E44" s="15" t="n"/>
      <c r="F44" s="15" t="n"/>
      <c r="G44" s="15" t="n"/>
      <c r="H44" s="15" t="n"/>
      <c r="I44" s="15" t="n"/>
      <c r="J44" s="15" t="n"/>
      <c r="K44" s="15" t="n"/>
      <c r="L44" s="17">
        <f>SUM(L5:L43)</f>
        <v/>
      </c>
      <c r="M44" s="15" t="n"/>
    </row>
  </sheetData>
  <autoFilter ref="A4:M43"/>
  <mergeCells count="2">
    <mergeCell ref="A2:M2"/>
    <mergeCell ref="A1:M1"/>
  </mergeCells>
  <dataValidations count="4">
    <dataValidation sqref="E5:E43" showDropDown="0" showInputMessage="0" showErrorMessage="0" allowBlank="1" errorTitle="Valor no permitido" error="Valor fuera del catalogo vigente." type="list">
      <formula1>=Listas!$A$2:$A$7</formula1>
    </dataValidation>
    <dataValidation sqref="F5:F43" showDropDown="0" showInputMessage="0" showErrorMessage="0" allowBlank="1" errorTitle="Valor no permitido" error="Valor fuera del catalogo vigente." type="list">
      <formula1>=Listas!$B$2:$B$4</formula1>
    </dataValidation>
    <dataValidation sqref="B5:B43" showDropDown="0" showInputMessage="0" showErrorMessage="0" allowBlank="1" errorTitle="Valor no permitido" error="Valor fuera del catalogo vigente." type="list">
      <formula1>=Listas!$C$2:$C$6</formula1>
    </dataValidation>
    <dataValidation sqref="G5:G43" showDropDown="0" showInputMessage="0" showErrorMessage="0" allowBlank="1" errorTitle="Valor no permitido" error="Valor fuera del catalogo vigente." type="list">
      <formula1>=Listas!$D$2:$D$4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8" t="inlineStr">
        <is>
          <t>CATEGORIA</t>
        </is>
      </c>
      <c r="B1" s="18" t="inlineStr">
        <is>
          <t>ESTADO</t>
        </is>
      </c>
      <c r="C1" s="18" t="inlineStr">
        <is>
          <t>DIRECCION</t>
        </is>
      </c>
      <c r="D1" s="18" t="inlineStr">
        <is>
          <t>AREA</t>
        </is>
      </c>
    </row>
    <row r="2">
      <c r="A2" s="19" t="inlineStr">
        <is>
          <t>MOBILIARIO</t>
        </is>
      </c>
      <c r="B2" s="19" t="inlineStr">
        <is>
          <t>SERVICIO</t>
        </is>
      </c>
      <c r="C2" s="19" t="inlineStr">
        <is>
          <t>DIRECCION GENERAL</t>
        </is>
      </c>
      <c r="D2" s="19" t="inlineStr">
        <is>
          <t>OFICINA DIRECTOR COMERCIAL</t>
        </is>
      </c>
    </row>
    <row r="3">
      <c r="A3" s="19" t="inlineStr">
        <is>
          <t>INFORMATICA</t>
        </is>
      </c>
      <c r="B3" s="19" t="inlineStr">
        <is>
          <t>MTTO</t>
        </is>
      </c>
      <c r="C3" s="19" t="inlineStr">
        <is>
          <t>DIRECCION TECNICO-PRODUCTIVA</t>
        </is>
      </c>
      <c r="D3" s="19" t="inlineStr">
        <is>
          <t>DEPARTAMENTO VENTAS NACIONAL</t>
        </is>
      </c>
    </row>
    <row r="4">
      <c r="A4" s="19" t="inlineStr">
        <is>
          <t>EQUIPOS DE CLIMATIZACION Y REFRIGERACION</t>
        </is>
      </c>
      <c r="B4" s="19" t="inlineStr">
        <is>
          <t>BAJA</t>
        </is>
      </c>
      <c r="C4" s="19" t="inlineStr">
        <is>
          <t>DIRECCION COMERCIAL</t>
        </is>
      </c>
      <c r="D4" s="19" t="inlineStr">
        <is>
          <t>DEPARTAMENTO VENTAS INTERNACIONAL</t>
        </is>
      </c>
    </row>
    <row r="5">
      <c r="A5" s="19" t="inlineStr">
        <is>
          <t>ELECTRODOMESTICOS</t>
        </is>
      </c>
      <c r="C5" s="19" t="inlineStr">
        <is>
          <t>DIRECCION ECONOMIA</t>
        </is>
      </c>
    </row>
    <row r="6">
      <c r="A6" s="19" t="inlineStr">
        <is>
          <t>TECNOLOGIA</t>
        </is>
      </c>
      <c r="C6" s="19" t="inlineStr">
        <is>
          <t>DIRECCION LOGISTICA</t>
        </is>
      </c>
    </row>
    <row r="7">
      <c r="A7" s="19" t="inlineStr">
        <is>
          <t>TRANSPORTE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13" customWidth="1" min="4" max="4"/>
  </cols>
  <sheetData>
    <row r="1" ht="30" customHeight="1">
      <c r="A1" s="20" t="inlineStr">
        <is>
          <t>Resumen del registro</t>
        </is>
      </c>
    </row>
    <row r="2" ht="8" customHeight="1"/>
    <row r="3" ht="22" customHeight="1">
      <c r="A3" s="21" t="inlineStr">
        <is>
          <t>Por área</t>
        </is>
      </c>
    </row>
    <row r="4">
      <c r="A4" s="22" t="inlineStr">
        <is>
          <t>Área</t>
        </is>
      </c>
      <c r="B4" s="23" t="inlineStr">
        <is>
          <t>Activos</t>
        </is>
      </c>
      <c r="C4" s="23" t="inlineStr">
        <is>
          <t>Valor total</t>
        </is>
      </c>
      <c r="D4" s="23" t="inlineStr">
        <is>
          <t>% del valor</t>
        </is>
      </c>
    </row>
    <row r="5">
      <c r="A5" s="10" t="inlineStr">
        <is>
          <t>OFICINA DIRECTOR COMERCIAL</t>
        </is>
      </c>
      <c r="B5" s="9">
        <f>COUNTIF('REGISTRO DE ACTIVOS NUEVOS'!$G$5:$G$43,$A5)</f>
        <v/>
      </c>
      <c r="C5" s="12">
        <f>SUMIF('REGISTRO DE ACTIVOS NUEVOS'!$G$5:$G$43,$A5,'REGISTRO DE ACTIVOS NUEVOS'!$L$5:$L$43)</f>
        <v/>
      </c>
      <c r="D5" s="24">
        <f>IFERROR(C5/SUM('REGISTRO DE ACTIVOS NUEVOS'!$L$5:$L$43),0)</f>
        <v/>
      </c>
    </row>
    <row r="6">
      <c r="A6" s="6" t="inlineStr">
        <is>
          <t>DEPARTAMENTO VENTAS NACIONAL</t>
        </is>
      </c>
      <c r="B6" s="5">
        <f>COUNTIF('REGISTRO DE ACTIVOS NUEVOS'!$G$5:$G$43,$A6)</f>
        <v/>
      </c>
      <c r="C6" s="8">
        <f>SUMIF('REGISTRO DE ACTIVOS NUEVOS'!$G$5:$G$43,$A6,'REGISTRO DE ACTIVOS NUEVOS'!$L$5:$L$43)</f>
        <v/>
      </c>
      <c r="D6" s="25">
        <f>IFERROR(C6/SUM('REGISTRO DE ACTIVOS NUEVOS'!$L$5:$L$43),0)</f>
        <v/>
      </c>
    </row>
    <row r="7">
      <c r="A7" s="10" t="inlineStr">
        <is>
          <t>DEPARTAMENTO VENTAS INTERNACIONAL</t>
        </is>
      </c>
      <c r="B7" s="9">
        <f>COUNTIF('REGISTRO DE ACTIVOS NUEVOS'!$G$5:$G$43,$A7)</f>
        <v/>
      </c>
      <c r="C7" s="12">
        <f>SUMIF('REGISTRO DE ACTIVOS NUEVOS'!$G$5:$G$43,$A7,'REGISTRO DE ACTIVOS NUEVOS'!$L$5:$L$43)</f>
        <v/>
      </c>
      <c r="D7" s="24">
        <f>IFERROR(C7/SUM('REGISTRO DE ACTIVOS NUEVOS'!$L$5:$L$43),0)</f>
        <v/>
      </c>
    </row>
    <row r="8">
      <c r="A8" s="16" t="inlineStr">
        <is>
          <t>Total</t>
        </is>
      </c>
      <c r="B8" s="14">
        <f>SUM(B5:B7)</f>
        <v/>
      </c>
      <c r="C8" s="17">
        <f>SUM(C5:C7)</f>
        <v/>
      </c>
      <c r="D8" s="26">
        <f>SUM(D5:D7)</f>
        <v/>
      </c>
    </row>
    <row r="10" ht="22" customHeight="1">
      <c r="A10" s="21" t="inlineStr">
        <is>
          <t>Por categoría</t>
        </is>
      </c>
    </row>
    <row r="11">
      <c r="A11" s="22" t="inlineStr">
        <is>
          <t>Categoría</t>
        </is>
      </c>
      <c r="B11" s="23" t="inlineStr">
        <is>
          <t>Activos</t>
        </is>
      </c>
      <c r="C11" s="23" t="inlineStr">
        <is>
          <t>Valor total</t>
        </is>
      </c>
      <c r="D11" s="23" t="inlineStr">
        <is>
          <t>% del valor</t>
        </is>
      </c>
    </row>
    <row r="12">
      <c r="A12" s="10" t="inlineStr">
        <is>
          <t>EQUIPOS DE CLIMATIZACION Y REFRIGERACION</t>
        </is>
      </c>
      <c r="B12" s="9">
        <f>COUNTIF('REGISTRO DE ACTIVOS NUEVOS'!$E$5:$E$43,$A12)</f>
        <v/>
      </c>
      <c r="C12" s="12">
        <f>SUMIF('REGISTRO DE ACTIVOS NUEVOS'!$E$5:$E$43,$A12,'REGISTRO DE ACTIVOS NUEVOS'!$L$5:$L$43)</f>
        <v/>
      </c>
      <c r="D12" s="24">
        <f>IFERROR(C12/SUM('REGISTRO DE ACTIVOS NUEVOS'!$L$5:$L$43),0)</f>
        <v/>
      </c>
    </row>
    <row r="13">
      <c r="A13" s="6" t="inlineStr">
        <is>
          <t>MOBILIARIO</t>
        </is>
      </c>
      <c r="B13" s="5">
        <f>COUNTIF('REGISTRO DE ACTIVOS NUEVOS'!$E$5:$E$43,$A13)</f>
        <v/>
      </c>
      <c r="C13" s="8">
        <f>SUMIF('REGISTRO DE ACTIVOS NUEVOS'!$E$5:$E$43,$A13,'REGISTRO DE ACTIVOS NUEVOS'!$L$5:$L$43)</f>
        <v/>
      </c>
      <c r="D13" s="25">
        <f>IFERROR(C13/SUM('REGISTRO DE ACTIVOS NUEVOS'!$L$5:$L$43),0)</f>
        <v/>
      </c>
    </row>
    <row r="14">
      <c r="A14" s="10" t="inlineStr">
        <is>
          <t>INFORMATICA</t>
        </is>
      </c>
      <c r="B14" s="9">
        <f>COUNTIF('REGISTRO DE ACTIVOS NUEVOS'!$E$5:$E$43,$A14)</f>
        <v/>
      </c>
      <c r="C14" s="12">
        <f>SUMIF('REGISTRO DE ACTIVOS NUEVOS'!$E$5:$E$43,$A14,'REGISTRO DE ACTIVOS NUEVOS'!$L$5:$L$43)</f>
        <v/>
      </c>
      <c r="D14" s="24">
        <f>IFERROR(C14/SUM('REGISTRO DE ACTIVOS NUEVOS'!$L$5:$L$43),0)</f>
        <v/>
      </c>
    </row>
    <row r="15">
      <c r="A15" s="16" t="inlineStr">
        <is>
          <t>Total</t>
        </is>
      </c>
      <c r="B15" s="14">
        <f>SUM(B12:B14)</f>
        <v/>
      </c>
      <c r="C15" s="17">
        <f>SUM(C12:C14)</f>
        <v/>
      </c>
      <c r="D15" s="26">
        <f>SUM(D12:D14)</f>
        <v/>
      </c>
    </row>
    <row r="17" ht="22" customHeight="1">
      <c r="A17" s="21" t="inlineStr">
        <is>
          <t>Por estado</t>
        </is>
      </c>
    </row>
    <row r="18">
      <c r="A18" s="22" t="inlineStr">
        <is>
          <t>Estado</t>
        </is>
      </c>
      <c r="B18" s="23" t="inlineStr">
        <is>
          <t>Activos</t>
        </is>
      </c>
      <c r="C18" s="23" t="inlineStr">
        <is>
          <t>Valor total</t>
        </is>
      </c>
      <c r="D18" s="23" t="inlineStr">
        <is>
          <t>% del valor</t>
        </is>
      </c>
    </row>
    <row r="19">
      <c r="A19" s="10" t="inlineStr">
        <is>
          <t>SERVICIO</t>
        </is>
      </c>
      <c r="B19" s="9">
        <f>COUNTIF('REGISTRO DE ACTIVOS NUEVOS'!$F$5:$F$43,$A19)</f>
        <v/>
      </c>
      <c r="C19" s="12">
        <f>SUMIF('REGISTRO DE ACTIVOS NUEVOS'!$F$5:$F$43,$A19,'REGISTRO DE ACTIVOS NUEVOS'!$L$5:$L$43)</f>
        <v/>
      </c>
      <c r="D19" s="24">
        <f>IFERROR(C19/SUM('REGISTRO DE ACTIVOS NUEVOS'!$L$5:$L$43),0)</f>
        <v/>
      </c>
    </row>
    <row r="20">
      <c r="A20" s="6" t="inlineStr">
        <is>
          <t>MTTO</t>
        </is>
      </c>
      <c r="B20" s="5">
        <f>COUNTIF('REGISTRO DE ACTIVOS NUEVOS'!$F$5:$F$43,$A20)</f>
        <v/>
      </c>
      <c r="C20" s="8">
        <f>SUMIF('REGISTRO DE ACTIVOS NUEVOS'!$F$5:$F$43,$A20,'REGISTRO DE ACTIVOS NUEVOS'!$L$5:$L$43)</f>
        <v/>
      </c>
      <c r="D20" s="25">
        <f>IFERROR(C20/SUM('REGISTRO DE ACTIVOS NUEVOS'!$L$5:$L$43),0)</f>
        <v/>
      </c>
    </row>
    <row r="21">
      <c r="A21" s="10" t="inlineStr">
        <is>
          <t>BAJA</t>
        </is>
      </c>
      <c r="B21" s="9">
        <f>COUNTIF('REGISTRO DE ACTIVOS NUEVOS'!$F$5:$F$43,$A21)</f>
        <v/>
      </c>
      <c r="C21" s="12">
        <f>SUMIF('REGISTRO DE ACTIVOS NUEVOS'!$F$5:$F$43,$A21,'REGISTRO DE ACTIVOS NUEVOS'!$L$5:$L$43)</f>
        <v/>
      </c>
      <c r="D21" s="24">
        <f>IFERROR(C21/SUM('REGISTRO DE ACTIVOS NUEVOS'!$L$5:$L$43),0)</f>
        <v/>
      </c>
    </row>
    <row r="22">
      <c r="A22" s="16" t="inlineStr">
        <is>
          <t>Total</t>
        </is>
      </c>
      <c r="B22" s="14">
        <f>SUM(B19:B21)</f>
        <v/>
      </c>
      <c r="C22" s="17">
        <f>SUM(C19:C21)</f>
        <v/>
      </c>
      <c r="D22" s="26">
        <f>SUM(D19:D21)</f>
        <v/>
      </c>
    </row>
  </sheetData>
  <mergeCells count="4">
    <mergeCell ref="A1:D1"/>
    <mergeCell ref="A17:D17"/>
    <mergeCell ref="A3:D3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0" customHeight="1">
      <c r="A1" s="20" t="inlineStr">
        <is>
          <t>Notas, supuestos y trazabilidad</t>
        </is>
      </c>
    </row>
    <row r="3" ht="22" customHeight="1">
      <c r="A3" s="21" t="inlineStr">
        <is>
          <t>Origen del dato</t>
        </is>
      </c>
    </row>
    <row r="4" ht="26" customHeight="1">
      <c r="A4" s="27" t="inlineStr">
        <is>
          <t>Fuente</t>
        </is>
      </c>
      <c r="B4" s="28" t="inlineStr">
        <is>
          <t>Hoja «REGISTRO DE ACTIVOS NUEVOS» de «EJEMPLOS DE EMPRESAS Y AFT (1).xls» (EMPRESA SUCHEL TROPICAL): bloque DIRECCION COMERCIAL, filas 138 a 176 del archivo, códigos DC-01 a DC-39.</t>
        </is>
      </c>
    </row>
    <row r="5" ht="26" customHeight="1">
      <c r="A5" s="27" t="inlineStr">
        <is>
          <t>Alcance</t>
        </is>
      </c>
      <c r="B5" s="28" t="inlineStr">
        <is>
          <t>39 activos en 3 áreas. El archivo de origen tiene 252 activos en total (DG, DTP, DC, DE, DL); este registro cubre sólo la DIRECCION COMERCIAL.</t>
        </is>
      </c>
    </row>
    <row r="6" ht="22" customHeight="1">
      <c r="A6" s="21" t="inlineStr">
        <is>
          <t>Rellenado a partir del propio Excel (dato real, sólo desagregado)</t>
        </is>
      </c>
    </row>
    <row r="7" ht="26" customHeight="1">
      <c r="A7" s="27" t="inlineStr">
        <is>
          <t>DIRECCION</t>
        </is>
      </c>
      <c r="B7" s="28" t="inlineStr">
        <is>
          <t>Venía en una única celda combinada que abarcaba las 39 filas. Replicada en cada fila: DIRECCION COMERCIAL.</t>
        </is>
      </c>
    </row>
    <row r="8" ht="39" customHeight="1">
      <c r="A8" s="27" t="inlineStr">
        <is>
          <t>AREA</t>
        </is>
      </c>
      <c r="B8" s="28" t="inlineStr">
        <is>
          <t>Venía sólo en la fila que abre cada bloque. Replicada hacia abajo: DC-01..11 OFICINA DIRECTOR COMERCIAL / DC-12..25 DEPARTAMENTO VENTAS NACIONAL / DC-26..39 DEPARTAMENTO VENTAS INTERNACIONAL.</t>
        </is>
      </c>
    </row>
    <row r="9" ht="26" customHeight="1">
      <c r="A9" s="27" t="inlineStr">
        <is>
          <t>RESPONSABLE</t>
        </is>
      </c>
      <c r="B9" s="28" t="inlineStr">
        <is>
          <t>Mismo criterio que AREA: DIRECTOR COMERCIAL / JEFE DPTO. VENTAS NACIONAL / JEFE DPTO. VENTAS INTERNACIONAL.</t>
        </is>
      </c>
    </row>
    <row r="10" ht="22" customHeight="1">
      <c r="A10" s="21" t="inlineStr">
        <is>
          <t>Huecos e inconsistencias resueltos</t>
        </is>
      </c>
    </row>
    <row r="11" ht="26" customHeight="1">
      <c r="A11" s="27" t="inlineStr">
        <is>
          <t>Sin huecos</t>
        </is>
      </c>
      <c r="B11" s="28" t="inlineStr">
        <is>
          <t>A diferencia de DIRECCION GENERAL y DIRECCION TECNICO-PRODUCTIVA, este bloque llegó con CATEGORIA y ESTADO completos en las 39 filas: no hubo que asumir ningún valor.</t>
        </is>
      </c>
    </row>
    <row r="12" ht="26" customHeight="1">
      <c r="A12" s="27" t="inlineStr">
        <is>
          <t>DC-02</t>
        </is>
      </c>
      <c r="B12" s="28" t="inlineStr">
        <is>
          <t>«1 SOFA 3 PERONAS» corregido a «1 SOFA 3 PERSONAS» — la misma errata que traen DG-006 y DTP-06.</t>
        </is>
      </c>
    </row>
    <row r="13" ht="52" customHeight="1">
      <c r="A13" s="27" t="inlineStr">
        <is>
          <t>BURO vs MESA BURO</t>
        </is>
      </c>
      <c r="B13" s="28" t="inlineStr">
        <is>
          <t>Este bloque usa «BURO» / «1 BURO» a secas, mientras DG y DTP usan «MESA BURO/ 4 GAVETAS». Se tomaron como dos bienes distintos (escritorio sin gavetas vs. con 4 gavetas), con modelo y valor distintos. Si en la práctica son el mismo mueble, conviene unificar el nombre antes de aprobar: CORE resuelve el catálogo por nombre.</t>
        </is>
      </c>
    </row>
    <row r="14" ht="26" customHeight="1">
      <c r="A14" s="27" t="inlineStr">
        <is>
          <t>CREDENZA</t>
        </is>
      </c>
      <c r="B14" s="28" t="inlineStr">
        <is>
          <t>Mismo caso: acá dice «1 CREDENZA METALICA» y en DG dice «1 CREDENZA 4 GAVETAS, METALICA». Se trataron como dos referencias distintas (CRD-2P y CRD-4G).</t>
        </is>
      </c>
    </row>
    <row r="15" ht="22" customHeight="1">
      <c r="A15" s="21" t="inlineStr">
        <is>
          <t>Columnas SIN dato en el origen — valores de EJEMPLO (encabezado en azul)</t>
        </is>
      </c>
    </row>
    <row r="16" ht="52" customHeight="1">
      <c r="A16" s="29" t="inlineStr">
        <is>
          <t>Advertencia</t>
        </is>
      </c>
      <c r="B16" s="30" t="inlineStr">
        <is>
          <t>MARCA, MODELO, SERIE, FECHA COMPRA y VALOR.CLP. están vacías en las 252 filas del Excel de origen. Los valores de estas 5 columnas fueron GENERADOS para entregar el registro completo: son plausibles, no reales. Reemplazar con el acta de recepción / factura antes de aprobar el lote en el CCP.</t>
        </is>
      </c>
    </row>
    <row r="17" ht="39" customHeight="1">
      <c r="A17" s="27" t="inlineStr">
        <is>
          <t>MARCA / MODELO</t>
        </is>
      </c>
      <c r="B17" s="28" t="inlineStr">
        <is>
          <t>Marcas y modelos de mercado chileno coherentes con cada tipo de bien (Rosen, Mica, Ergosillas, Dimeiggs, HP, Epson, Lenovo, LG, Midea, Recco). Los mismos criterios que en los registros de DG y DTP, para que el catálogo quede consistente entre direcciones.</t>
        </is>
      </c>
    </row>
    <row r="18" ht="26" customHeight="1">
      <c r="A18" s="27" t="inlineStr">
        <is>
          <t>SERIE</t>
        </is>
      </c>
      <c r="B18" s="28" t="inlineStr">
        <is>
          <t>Patrón determinista SN-&lt;código sin guión&gt;-&lt;4 dígitos&gt;. No corresponde al número de serie físico del equipo.</t>
        </is>
      </c>
    </row>
    <row r="19" ht="26" customHeight="1">
      <c r="A19" s="27" t="inlineStr">
        <is>
          <t>FECHA COMPRA</t>
        </is>
      </c>
      <c r="B19" s="28" t="inlineStr">
        <is>
          <t>Una fecha por bloque/área, simulando la orden de compra del lote: OFICINA DIRECTOR COMERCIAL 05-2021 / VENTAS NACIONAL 02-2022 / VENTAS INTERNACIONAL 07-2022.</t>
        </is>
      </c>
    </row>
    <row r="20" ht="26" customHeight="1">
      <c r="A20" s="27" t="inlineStr">
        <is>
          <t>VALOR.CLP.</t>
        </is>
      </c>
      <c r="B20" s="28" t="inlineStr">
        <is>
          <t>Valor de reposición referencial en pesos chilenos por tipo de bien. No es valor contable ni valor libro: no incorpora depreciación.</t>
        </is>
      </c>
    </row>
    <row r="21" ht="22" customHeight="1">
      <c r="A21" s="21" t="inlineStr">
        <is>
          <t>Compatibilidad con el ETL contable de SICSAFT</t>
        </is>
      </c>
    </row>
    <row r="22" ht="39" customHeight="1">
      <c r="A22" s="27" t="inlineStr">
        <is>
          <t>Hoja y encabezados</t>
        </is>
      </c>
      <c r="B22" s="28" t="inlineStr">
        <is>
          <t>El nombre de hoja «REGISTRO DE ACTIVOS NUEVOS» y los 13 encabezados coinciden con herramientas/etl-contable/mapeo/mapeo-ejemplo.json, así que el archivo se procesa tal cual con etl_contable.py.</t>
        </is>
      </c>
    </row>
    <row r="23" ht="26" customHeight="1">
      <c r="A23" s="27" t="inlineStr">
        <is>
          <t>Fila TOTAL</t>
        </is>
      </c>
      <c r="B23" s="28" t="inlineStr">
        <is>
          <t>La fila de totales va sin CODIGO a propósito: el ETL descarta las filas sin codigoPatrimonial, así que no entra al lote como si fuera un activo.</t>
        </is>
      </c>
    </row>
    <row r="24" ht="26" customHeight="1">
      <c r="A24" s="27" t="inlineStr">
        <is>
          <t>Validación</t>
        </is>
      </c>
      <c r="B24" s="28" t="inlineStr">
        <is>
          <t>CATEGORIA, ESTADO, DIRECCION y AREA tienen lista desplegable contra los catálogos de la hoja oculta «Listas», para que una carga manual no invente valores nuevos.</t>
        </is>
      </c>
    </row>
  </sheetData>
  <mergeCells count="6">
    <mergeCell ref="A21:B21"/>
    <mergeCell ref="A15:B15"/>
    <mergeCell ref="A10:B10"/>
    <mergeCell ref="A1:B1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2026-09-07T19:41:21Z</dcterms:created>
  <dcterms:modified xmlns:dcterms="http://purl.org/dc/terms/" xmlns:xsi="http://www.w3.org/2001/XMLSchema-instance" xsi:type="dcterms:W3CDTF">2026-09-07T19:41:21Z</dcterms:modified>
</cp:coreProperties>
</file>